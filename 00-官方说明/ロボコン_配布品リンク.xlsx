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globalhonda-my.sharepoint.com/personal/j0138856_jpn_mds_honda_com/Documents/My Documents/2026/01-ロボコン/00-官方说明/"/>
    </mc:Choice>
  </mc:AlternateContent>
  <xr:revisionPtr revIDLastSave="837" documentId="13_ncr:1_{B8D901DF-B01B-4F7C-82A6-88F4E23BCDFA}" xr6:coauthVersionLast="47" xr6:coauthVersionMax="47" xr10:uidLastSave="{6584D85D-EB59-42E5-B98C-757512114AA9}"/>
  <bookViews>
    <workbookView xWindow="-120" yWindow="-120" windowWidth="29040" windowHeight="15720" firstSheet="1" activeTab="1" xr2:uid="{00000000-000D-0000-FFFF-FFFF00000000}"/>
  </bookViews>
  <sheets>
    <sheet name="チームあたりの数" sheetId="6" state="hidden" r:id="rId1"/>
    <sheet name="チームあたりのキット" sheetId="7" r:id="rId2"/>
  </sheets>
  <definedNames>
    <definedName name="_xlnm._FilterDatabase" localSheetId="0" hidden="1">チームあたりの数!$B$3:$G$22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7" l="1"/>
  <c r="I30" i="7"/>
  <c r="I29" i="7"/>
  <c r="I22" i="7"/>
  <c r="I18" i="7"/>
  <c r="I9" i="7"/>
  <c r="I10" i="7"/>
  <c r="I11" i="7"/>
  <c r="I12" i="7"/>
  <c r="I13" i="7"/>
  <c r="I14" i="7"/>
  <c r="I15" i="7"/>
  <c r="I16" i="7"/>
  <c r="I17" i="7"/>
  <c r="I21" i="7"/>
  <c r="I20" i="7"/>
  <c r="I5" i="7"/>
  <c r="I4" i="7"/>
  <c r="I6" i="7"/>
  <c r="I7" i="7"/>
  <c r="I8" i="7"/>
  <c r="I19" i="7"/>
  <c r="I24" i="7"/>
  <c r="I25" i="7"/>
  <c r="I26" i="7"/>
  <c r="I27" i="7"/>
  <c r="I28" i="7"/>
  <c r="I31" i="7"/>
  <c r="I32" i="7"/>
  <c r="I33" i="7"/>
  <c r="I34" i="7"/>
  <c r="I35" i="7"/>
  <c r="I36" i="7"/>
  <c r="D24" i="6" l="1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24" i="6" l="1"/>
</calcChain>
</file>

<file path=xl/sharedStrings.xml><?xml version="1.0" encoding="utf-8"?>
<sst xmlns="http://schemas.openxmlformats.org/spreadsheetml/2006/main" count="150" uniqueCount="132">
  <si>
    <t>No</t>
  </si>
  <si>
    <t>商品のリンク</t>
  </si>
  <si>
    <t xml:space="preserve">ブレッドボード 6穴版 </t>
  </si>
  <si>
    <t>単3形 アルカリ乾電池 48本</t>
  </si>
  <si>
    <t>コネクター付コード 4P 赤黒黄緑</t>
  </si>
  <si>
    <t>PHコネクター ベース付ポスト トップ型</t>
  </si>
  <si>
    <t>両面スルーホール</t>
  </si>
  <si>
    <t>パスコン用積層セラミックコンデンサ0.01μF 10個入り</t>
  </si>
  <si>
    <t>スズメッキ線</t>
  </si>
  <si>
    <t>電池ボックス</t>
  </si>
  <si>
    <t>ビニール線</t>
  </si>
  <si>
    <t>モーター＆ギアボックス</t>
  </si>
  <si>
    <t>100抵抗</t>
    <rPh sb="3" eb="5">
      <t>テイコウ</t>
    </rPh>
    <phoneticPr fontId="4"/>
  </si>
  <si>
    <t>10k抵抗</t>
    <rPh sb="3" eb="5">
      <t>テイコウ</t>
    </rPh>
    <phoneticPr fontId="4"/>
  </si>
  <si>
    <t>1k抵抗</t>
    <rPh sb="2" eb="4">
      <t>テイコウ</t>
    </rPh>
    <phoneticPr fontId="4"/>
  </si>
  <si>
    <t>220抵抗</t>
  </si>
  <si>
    <t>22k抵抗</t>
  </si>
  <si>
    <t>LBR-123F</t>
  </si>
  <si>
    <t>RPR-220</t>
  </si>
  <si>
    <t>タクトスイッチ</t>
  </si>
  <si>
    <t>ピンヘッダー</t>
  </si>
  <si>
    <t>ブレッドボード</t>
  </si>
  <si>
    <t>ブレッドボード用ジャンパーワイヤー</t>
  </si>
  <si>
    <t>ユニバーサル基板</t>
  </si>
  <si>
    <t>ライントレース用センサー</t>
  </si>
  <si>
    <t>ボールキャスター(2セット入り)</t>
  </si>
  <si>
    <t>ライントレースロボット基本キット部品リスト</t>
    <rPh sb="11" eb="13">
      <t>キホン</t>
    </rPh>
    <rPh sb="16" eb="18">
      <t>ブヒン</t>
    </rPh>
    <phoneticPr fontId="8"/>
  </si>
  <si>
    <t>名前</t>
    <rPh sb="0" eb="2">
      <t>ナマエ</t>
    </rPh>
    <phoneticPr fontId="8"/>
  </si>
  <si>
    <t>リンク</t>
    <phoneticPr fontId="8"/>
  </si>
  <si>
    <t>価格</t>
    <rPh sb="0" eb="2">
      <t>カカク</t>
    </rPh>
    <phoneticPr fontId="8"/>
  </si>
  <si>
    <t>1チームあたりの数</t>
    <rPh sb="8" eb="9">
      <t>カズ</t>
    </rPh>
    <phoneticPr fontId="4"/>
  </si>
  <si>
    <t>キット1つあたりの費用</t>
    <rPh sb="9" eb="11">
      <t>ヒヨウ</t>
    </rPh>
    <phoneticPr fontId="8"/>
  </si>
  <si>
    <t>発注状況</t>
    <rPh sb="0" eb="4">
      <t>ハッチュウジョウキョウ</t>
    </rPh>
    <phoneticPr fontId="8"/>
  </si>
  <si>
    <t>モーター＆ギアボックス</t>
    <phoneticPr fontId="8"/>
  </si>
  <si>
    <t>Amazon | タミヤ 楽しい工作シリーズ No.168 ダブルギヤボックス 左右独立4速タイプ (70168) | ラジコン・ドローン 通販</t>
  </si>
  <si>
    <t>2/5 電算機消耗品で発注済み</t>
    <rPh sb="4" eb="10">
      <t>デンサンキショウモウヒン</t>
    </rPh>
    <rPh sb="11" eb="14">
      <t>ハッチュウズ</t>
    </rPh>
    <phoneticPr fontId="8"/>
  </si>
  <si>
    <t>シャーシ</t>
    <phoneticPr fontId="8"/>
  </si>
  <si>
    <t>Amazon | タミヤ(TAMIYA) 楽しい工作シリーズ No.157 ユニバーサルプレート 2枚セット (70157) | ホビー用素材 通販</t>
  </si>
  <si>
    <t>タイヤ</t>
    <phoneticPr fontId="8"/>
  </si>
  <si>
    <t>Amazon | タミヤ 楽しい工作シリーズ No.145 ナロータイヤセット 58mm径 (70145) | ホビー用素材 通販</t>
  </si>
  <si>
    <t>ボールキャスター</t>
    <phoneticPr fontId="8"/>
  </si>
  <si>
    <t>Amazon.co.jp: 【再入荷 特価】Secchuu 粘着テープ式 ナイロン製ボール どこでもキャスター スムーズに360度回転 ボール車輪 耐荷重60kg(4個セット) JH011 (JH013) (黒色 8個入り) [並行輸入品] : 文房具・オフィス用品</t>
  </si>
  <si>
    <t>CPU</t>
    <phoneticPr fontId="8"/>
  </si>
  <si>
    <t>ESP32 WROOM-32 開発ボード TYPE-C CH340C/CP2102 WiFi+Bluetooth 超低消費電力デュアルコアワイヤレスモジュール - AliExpress 502</t>
  </si>
  <si>
    <t>ブレッドボード</t>
    <phoneticPr fontId="8"/>
  </si>
  <si>
    <t>Amazon | Leobro ジャンパーワイヤ 65本 ブレッドボード 400ポイント 2枚入 オスオスジャンプワイヤ ブレッドボードキット ジャンパー線 Arduino用 電子回路用 | ジャンプワイヤ | 産業・研究開発用品 通販</t>
  </si>
  <si>
    <t>ユニバーサル基盤</t>
    <rPh sb="6" eb="8">
      <t>キバン</t>
    </rPh>
    <phoneticPr fontId="8"/>
  </si>
  <si>
    <t>Amazon | サンハヤト 小型ユニバーサル基板 ICB-293U | 基板 | 産業・研究開発用品 通販</t>
  </si>
  <si>
    <t>品切れ</t>
    <rPh sb="0" eb="2">
      <t>シナギ</t>
    </rPh>
    <phoneticPr fontId="8"/>
  </si>
  <si>
    <t>はんだ</t>
    <phoneticPr fontId="8"/>
  </si>
  <si>
    <t>Amazon | 太洋電機産業(goot) 電子工作用 銀レス鉛フリーはんだ Φ1.0mm スズ残部/銅0.7%/ニッケル0.05%/ゲルマニウム0.01%以下 ヤニ入り SD-73 | ハンダゴテパーツ</t>
  </si>
  <si>
    <t>スズメッキ線</t>
    <rPh sb="5" eb="6">
      <t>セン</t>
    </rPh>
    <phoneticPr fontId="8"/>
  </si>
  <si>
    <t>Amazon | エルパ (ELPA) スズメッキ線 銅線 5m φ0.4mm HK-SM04H | 線</t>
  </si>
  <si>
    <t>ビニール線</t>
    <rPh sb="4" eb="5">
      <t>セン</t>
    </rPh>
    <phoneticPr fontId="8"/>
  </si>
  <si>
    <t>Amazon.co.jp: 【50mリール巻】単線 電線 サンコー電商 SHW-S 0.65mm 耐熱ビニル H-PVC スズメッキ ジャンパーワイヤー 電子工作・試験用・ブレッドボード対応 (青) : 産業・研究開発用品</t>
  </si>
  <si>
    <t>ピンヘッダ</t>
    <phoneticPr fontId="8"/>
  </si>
  <si>
    <t>Amazon.co.jp: Chanzonピンヘッダー; 40ピンx20個; メス/オスピン; 真っ直ぐ; 単一行; 四角いピン; 品揃え; キット; 金メッキ; ピッチ2.54mm; 0.1インチ;ブレイクウェイ PCB、Arduino Gpio、コネクタ、マシン用 : 産業・研究開発用品</t>
  </si>
  <si>
    <t>電池ボックス</t>
    <rPh sb="0" eb="2">
      <t>デンチ</t>
    </rPh>
    <phoneticPr fontId="8"/>
  </si>
  <si>
    <t>21700 バッテリーホルダー 21700 バッテリーケース 21700 バッテリーボックス 2 スロット 21700 ワイヤー付き/シリーズピン/パラレル 21700 - AliExpress</t>
  </si>
  <si>
    <t>モータードライバ</t>
    <phoneticPr fontId="8"/>
  </si>
  <si>
    <t>Amazon | VKLSVAN 5個セット DRV8833 DCモータードライブモジュール デュアルモータードライバードライバーボード | モータードライバ | 産業・研究開発用品 通販</t>
  </si>
  <si>
    <t>ラインセンサ</t>
    <phoneticPr fontId="8"/>
  </si>
  <si>
    <t>Amazon.co.jp: 8 チャンネル IR 追跡センサーモジュール 8 ライントラック検出検出ボード検出器車のバリアライン : パソコン・周辺機器</t>
  </si>
  <si>
    <t>抵抗10kオーム</t>
    <rPh sb="0" eb="2">
      <t>テイコウ</t>
    </rPh>
    <phoneticPr fontId="8"/>
  </si>
  <si>
    <t>Amazon.co.jp: uxcell 1/4W 炭素皮膜抵抗 カーボン抵抗器 酸金抵抗 250V 10K Ohm 許容差5% 100個セット 電子回路 : 産業・研究開発用品</t>
  </si>
  <si>
    <t>20個</t>
    <rPh sb="2" eb="3">
      <t>コ</t>
    </rPh>
    <phoneticPr fontId="4"/>
  </si>
  <si>
    <t>抵抗100オーム</t>
    <rPh sb="0" eb="2">
      <t>テイコウ</t>
    </rPh>
    <phoneticPr fontId="8"/>
  </si>
  <si>
    <t>Amazon.co.jp: Chanzon 100 個 1/4W (0.25W) 100 Ω オーム 金属膜固定抵抗器 0.01 ±1% 公差 100R MF スルーホール抵抗器 電流制限 Rohs 認証済み : DIY・工具・ガーデン</t>
  </si>
  <si>
    <t>LED</t>
    <phoneticPr fontId="8"/>
  </si>
  <si>
    <t>Amazon | Youmile 250パック（5色x 50パック）3mm LED発光ダイオードランプ拡散アソートキット（ホワイトレッドグリーンブルーイエロー） | ダイオード | 産業・研究開発用品 通販</t>
  </si>
  <si>
    <t>タクトスイッチ</t>
    <phoneticPr fontId="8"/>
  </si>
  <si>
    <t>Amazon.co.jp: uxcell マイクロタクトスイッチ 押しボタンスイッチ 6x6x9mm DC12V 50mA 20枚入り : 産業・研究開発用品</t>
  </si>
  <si>
    <t>DCDC（アップ）</t>
    <phoneticPr fontId="8"/>
  </si>
  <si>
    <t>Amazon.co.jp: Youmile 5 個 DC-DC ステップアップブースト電源コンバータ 2V-24V から 5V-28V 2A 調整可能な電圧レギュレータ電源モジュール Arduino 用 24AWG ワイヤー付き : 家電＆カメラ</t>
  </si>
  <si>
    <t>タイヤ(2輪)</t>
    <rPh sb="5" eb="6">
      <t>リン</t>
    </rPh>
    <phoneticPr fontId="4"/>
  </si>
  <si>
    <t>LED（各色）</t>
    <rPh sb="4" eb="6">
      <t>カクショク</t>
    </rPh>
    <phoneticPr fontId="4"/>
  </si>
  <si>
    <t>ピンソケット</t>
    <phoneticPr fontId="4"/>
  </si>
  <si>
    <t>備考</t>
    <rPh sb="0" eb="2">
      <t>ビコウ</t>
    </rPh>
    <phoneticPr fontId="4"/>
  </si>
  <si>
    <t>電源用アルミ電解コンデンサ100μF</t>
    <phoneticPr fontId="4"/>
  </si>
  <si>
    <t>シャーシ（タミヤユニバーサルプレート）</t>
    <phoneticPr fontId="4"/>
  </si>
  <si>
    <t>チームあたりの必要数</t>
    <rPh sb="7" eb="10">
      <t>ヒツヨウスウ</t>
    </rPh>
    <phoneticPr fontId="4"/>
  </si>
  <si>
    <t>4/16時点の保持数</t>
    <rPh sb="4" eb="6">
      <t>ジテン</t>
    </rPh>
    <rPh sb="7" eb="10">
      <t>ホジスウ</t>
    </rPh>
    <phoneticPr fontId="4"/>
  </si>
  <si>
    <t>在庫数</t>
    <rPh sb="0" eb="3">
      <t>ザイコスウ</t>
    </rPh>
    <phoneticPr fontId="4"/>
  </si>
  <si>
    <t xml:space="preserve">１中西 </t>
    <rPh sb="1" eb="3">
      <t>ナカニシ</t>
    </rPh>
    <phoneticPr fontId="4"/>
  </si>
  <si>
    <t>2 本橋</t>
    <rPh sb="2" eb="4">
      <t>モトハシ</t>
    </rPh>
    <phoneticPr fontId="4"/>
  </si>
  <si>
    <t>3 布施</t>
    <rPh sb="2" eb="4">
      <t>フセ</t>
    </rPh>
    <phoneticPr fontId="4"/>
  </si>
  <si>
    <t>4 ZHANG</t>
    <phoneticPr fontId="4"/>
  </si>
  <si>
    <t>各色50個＊5色</t>
    <rPh sb="0" eb="2">
      <t>カクショク</t>
    </rPh>
    <rPh sb="4" eb="5">
      <t>コ</t>
    </rPh>
    <rPh sb="7" eb="8">
      <t>ショク</t>
    </rPh>
    <phoneticPr fontId="4"/>
  </si>
  <si>
    <t>反射型光电传感器，循线小车核心检测元件之一</t>
    <phoneticPr fontId="4"/>
  </si>
  <si>
    <t>镀锡铜线，用于电路焊接连接</t>
    <phoneticPr fontId="4"/>
  </si>
  <si>
    <t>循线小车驱动轮，配合电机使用</t>
    <phoneticPr fontId="4"/>
  </si>
  <si>
    <t>PVC绝缘导线，通用电路连接线</t>
    <phoneticPr fontId="4"/>
  </si>
  <si>
    <t>反射型光电传感器</t>
    <phoneticPr fontId="4"/>
  </si>
  <si>
    <t>微型按键，用于启动/模式切换</t>
    <phoneticPr fontId="4"/>
  </si>
  <si>
    <t>直插排针，模块间连接用</t>
    <phoneticPr fontId="4"/>
  </si>
  <si>
    <t>直插排母，与排针配套使用</t>
    <rPh sb="0" eb="2">
      <t>カクニン</t>
    </rPh>
    <phoneticPr fontId="4"/>
  </si>
  <si>
    <t>面包板跳线，快速搭建原型电路</t>
    <phoneticPr fontId="4"/>
  </si>
  <si>
    <r>
      <t>H</t>
    </r>
    <r>
      <rPr>
        <sz val="11"/>
        <color theme="1"/>
        <rFont val="Microsoft YaHei"/>
        <family val="2"/>
        <charset val="134"/>
      </rPr>
      <t>桥驱动</t>
    </r>
    <r>
      <rPr>
        <sz val="11"/>
        <color theme="1"/>
        <rFont val="ＭＳ ゴシック"/>
        <family val="3"/>
        <charset val="128"/>
      </rPr>
      <t>芯片板，控制</t>
    </r>
    <r>
      <rPr>
        <sz val="11"/>
        <color theme="1"/>
        <rFont val="Microsoft YaHei"/>
        <family val="2"/>
        <charset val="134"/>
      </rPr>
      <t>电</t>
    </r>
    <r>
      <rPr>
        <sz val="11"/>
        <color theme="1"/>
        <rFont val="ＭＳ ゴシック"/>
        <family val="3"/>
        <charset val="128"/>
      </rPr>
      <t>机正反</t>
    </r>
    <r>
      <rPr>
        <sz val="11"/>
        <color theme="1"/>
        <rFont val="Microsoft YaHei"/>
        <family val="2"/>
        <charset val="134"/>
      </rPr>
      <t>转</t>
    </r>
    <r>
      <rPr>
        <sz val="11"/>
        <color theme="1"/>
        <rFont val="ＭＳ ゴシック"/>
        <family val="3"/>
        <charset val="128"/>
      </rPr>
      <t>和速度</t>
    </r>
    <phoneticPr fontId="4"/>
  </si>
  <si>
    <t>通孔万用板，用于焊接固定电路</t>
    <rPh sb="0" eb="2">
      <t>カクニン</t>
    </rPh>
    <phoneticPr fontId="4"/>
  </si>
  <si>
    <t>纸环氧单面万用板，轻量化电路固定板</t>
    <phoneticPr fontId="4"/>
  </si>
  <si>
    <r>
      <t>片面紙エポキシ</t>
    </r>
    <r>
      <rPr>
        <u/>
        <sz val="11"/>
        <color theme="10"/>
        <rFont val="游ゴシック"/>
        <family val="2"/>
        <charset val="128"/>
      </rPr>
      <t>・ユニバーサル基板</t>
    </r>
    <phoneticPr fontId="4"/>
  </si>
  <si>
    <t>循线专用传感器模块，检测黑白线差异，比赛核心器件</t>
    <rPh sb="0" eb="2">
      <t>カクニン</t>
    </rPh>
    <phoneticPr fontId="4"/>
  </si>
  <si>
    <t>2個買うところを1個
电池仓，为小车提供电源</t>
    <rPh sb="1" eb="3">
      <t>コカ</t>
    </rPh>
    <rPh sb="9" eb="10">
      <t>コ</t>
    </rPh>
    <phoneticPr fontId="4"/>
  </si>
  <si>
    <r>
      <t>万向球形脚</t>
    </r>
    <r>
      <rPr>
        <sz val="11"/>
        <color theme="1"/>
        <rFont val="Microsoft YaHei"/>
        <family val="2"/>
        <charset val="134"/>
      </rPr>
      <t>轮</t>
    </r>
    <r>
      <rPr>
        <sz val="11"/>
        <color theme="1"/>
        <rFont val="ＭＳ ゴシック"/>
        <family val="3"/>
        <charset val="128"/>
      </rPr>
      <t>×2，小</t>
    </r>
    <r>
      <rPr>
        <sz val="11"/>
        <color theme="1"/>
        <rFont val="Microsoft YaHei"/>
        <family val="2"/>
        <charset val="134"/>
      </rPr>
      <t>车</t>
    </r>
    <r>
      <rPr>
        <sz val="11"/>
        <color theme="1"/>
        <rFont val="ＭＳ ゴシック"/>
        <family val="3"/>
        <charset val="128"/>
      </rPr>
      <t>前支撑/</t>
    </r>
    <r>
      <rPr>
        <sz val="11"/>
        <color theme="1"/>
        <rFont val="Microsoft YaHei"/>
        <family val="2"/>
        <charset val="134"/>
      </rPr>
      <t>转</t>
    </r>
    <r>
      <rPr>
        <sz val="11"/>
        <color theme="1"/>
        <rFont val="ＭＳ ゴシック"/>
        <family val="3"/>
        <charset val="128"/>
      </rPr>
      <t>向</t>
    </r>
    <r>
      <rPr>
        <sz val="11"/>
        <color theme="1"/>
        <rFont val="Microsoft YaHei"/>
        <family val="2"/>
        <charset val="134"/>
      </rPr>
      <t>辅</t>
    </r>
    <r>
      <rPr>
        <sz val="11"/>
        <color theme="1"/>
        <rFont val="ＭＳ ゴシック"/>
        <family val="3"/>
        <charset val="128"/>
      </rPr>
      <t>助</t>
    </r>
    <r>
      <rPr>
        <sz val="11"/>
        <color theme="1"/>
        <rFont val="等线"/>
        <family val="2"/>
        <scheme val="minor"/>
      </rPr>
      <t>，只有一个万向球</t>
    </r>
    <phoneticPr fontId="4"/>
  </si>
  <si>
    <t>未購入
旁路去耦电容，抑制电源噪声干扰</t>
    <rPh sb="0" eb="3">
      <t>ミコウニュウ</t>
    </rPh>
    <phoneticPr fontId="4"/>
  </si>
  <si>
    <t>未購入
电源滤波大电容，稳定电源电压</t>
    <rPh sb="0" eb="3">
      <t>ミコウニュウ</t>
    </rPh>
    <phoneticPr fontId="4"/>
  </si>
  <si>
    <t>田宫万用底板，小车主体结构框架</t>
    <phoneticPr fontId="4"/>
  </si>
  <si>
    <t>直流电机+减速齿轮箱，驱动车轮前进转向</t>
    <phoneticPr fontId="4"/>
  </si>
  <si>
    <t>見直しで6穴版に交換
免焊面包板，快速原型测试用</t>
    <rPh sb="0" eb="2">
      <t>ミナオ</t>
    </rPh>
    <rPh sb="5" eb="7">
      <t>アナバン</t>
    </rPh>
    <rPh sb="8" eb="10">
      <t>コウカン</t>
    </rPh>
    <phoneticPr fontId="4"/>
  </si>
  <si>
    <t>未購入
小型8孔面包板，微型电路测试</t>
    <rPh sb="0" eb="3">
      <t>ミコウニュウ</t>
    </rPh>
    <phoneticPr fontId="4"/>
  </si>
  <si>
    <t>未購入
5号碱性电池×48，小车动力来源</t>
    <rPh sb="0" eb="3">
      <t>ミコウニュウ</t>
    </rPh>
    <phoneticPr fontId="4"/>
  </si>
  <si>
    <t>未購入
4Pin带连接器导线（红黑黄绿），模块接线用</t>
    <rPh sb="0" eb="3">
      <t>ミコウニュウ</t>
    </rPh>
    <phoneticPr fontId="4"/>
  </si>
  <si>
    <t>未購入
双面镀孔万用板，复杂电路焊接用</t>
    <rPh sb="0" eb="3">
      <t>ミコウニュウ</t>
    </rPh>
    <phoneticPr fontId="4"/>
  </si>
  <si>
    <t>未購入
PH连接器带底座，模块间紧固连接</t>
    <rPh sb="0" eb="3">
      <t>ミコウニュウ</t>
    </rPh>
    <phoneticPr fontId="4"/>
  </si>
  <si>
    <t>DCDC（アップ）</t>
    <phoneticPr fontId="4"/>
  </si>
  <si>
    <t>BAOTER 3296</t>
    <phoneticPr fontId="4"/>
  </si>
  <si>
    <t>列1</t>
    <phoneticPr fontId="4"/>
  </si>
  <si>
    <t>CPU 10PCS-CH340C TYPE-C</t>
    <phoneticPr fontId="4"/>
  </si>
  <si>
    <t>AE-NJL5901AR-8CH</t>
    <phoneticPr fontId="4"/>
  </si>
  <si>
    <t>タミヤ 楽しい工作シリーズ No.168 ダブルギヤボックス 左右独立4速タイプ (70168)</t>
    <phoneticPr fontId="4"/>
  </si>
  <si>
    <t>両面スルーホールユニバーサル基板 5cm*7cm</t>
    <phoneticPr fontId="4"/>
  </si>
  <si>
    <r>
      <t>片面紙エポキシ</t>
    </r>
    <r>
      <rPr>
        <sz val="11"/>
        <color theme="1"/>
        <rFont val="游ゴシック"/>
        <family val="2"/>
        <charset val="128"/>
      </rPr>
      <t>・ユニバーサル基板</t>
    </r>
    <r>
      <rPr>
        <sz val="11"/>
        <color theme="1"/>
        <rFont val="等线"/>
        <family val="2"/>
        <scheme val="minor"/>
      </rPr>
      <t xml:space="preserve"> Bタイプ(95×72mm) 銅はく仕上げ</t>
    </r>
    <phoneticPr fontId="4"/>
  </si>
  <si>
    <t>動作電圧: TYPE-C 5V</t>
    <phoneticPr fontId="4"/>
  </si>
  <si>
    <t>列2</t>
    <phoneticPr fontId="4"/>
  </si>
  <si>
    <r>
      <t xml:space="preserve">DRV8833 </t>
    </r>
    <r>
      <rPr>
        <sz val="11"/>
        <color theme="1"/>
        <rFont val="Noto Sans JP"/>
        <family val="2"/>
        <charset val="134"/>
      </rPr>
      <t>输入可以是7.4V</t>
    </r>
    <phoneticPr fontId="4"/>
  </si>
  <si>
    <r>
      <t xml:space="preserve">CPU 是ESP32
CH340C是USB </t>
    </r>
    <r>
      <rPr>
        <sz val="11"/>
        <color theme="1"/>
        <rFont val="Microsoft YaHei"/>
        <family val="2"/>
        <charset val="134"/>
      </rPr>
      <t>转</t>
    </r>
    <r>
      <rPr>
        <sz val="11"/>
        <color theme="1"/>
        <rFont val="ＭＳ ゴシック"/>
        <family val="3"/>
        <charset val="128"/>
      </rPr>
      <t>串口</t>
    </r>
    <r>
      <rPr>
        <sz val="11"/>
        <color theme="1"/>
        <rFont val="Microsoft YaHei"/>
        <family val="2"/>
        <charset val="134"/>
      </rPr>
      <t>转换</t>
    </r>
    <r>
      <rPr>
        <sz val="11"/>
        <color theme="1"/>
        <rFont val="ＭＳ ゴシック"/>
        <family val="3"/>
        <charset val="128"/>
      </rPr>
      <t>芯片</t>
    </r>
    <r>
      <rPr>
        <sz val="11"/>
        <color theme="1"/>
        <rFont val="等线"/>
        <family val="2"/>
        <scheme val="minor"/>
      </rPr>
      <t xml:space="preserve">
有AMS1117</t>
    </r>
    <r>
      <rPr>
        <sz val="11"/>
        <color theme="1"/>
        <rFont val="Microsoft YaHei"/>
        <family val="2"/>
        <charset val="134"/>
      </rPr>
      <t xml:space="preserve"> 可以从5~12V输出到3.3v</t>
    </r>
    <phoneticPr fontId="4"/>
  </si>
  <si>
    <r>
      <rPr>
        <sz val="11"/>
        <color rgb="FFFF0000"/>
        <rFont val="等线"/>
        <family val="2"/>
        <scheme val="minor"/>
      </rPr>
      <t>升</t>
    </r>
    <r>
      <rPr>
        <sz val="11"/>
        <color rgb="FFFF0000"/>
        <rFont val="Microsoft YaHei"/>
        <family val="2"/>
        <charset val="134"/>
      </rPr>
      <t>压转换</t>
    </r>
    <r>
      <rPr>
        <sz val="11"/>
        <color rgb="FFFF0000"/>
        <rFont val="ＭＳ ゴシック"/>
        <family val="3"/>
        <charset val="128"/>
      </rPr>
      <t>模</t>
    </r>
    <r>
      <rPr>
        <sz val="11"/>
        <color rgb="FFFF0000"/>
        <rFont val="Microsoft YaHei"/>
        <family val="2"/>
        <charset val="134"/>
      </rPr>
      <t>块</t>
    </r>
    <r>
      <rPr>
        <sz val="11"/>
        <color theme="1"/>
        <rFont val="ＭＳ ゴシック"/>
        <family val="3"/>
        <charset val="128"/>
      </rPr>
      <t>，将低</t>
    </r>
    <r>
      <rPr>
        <sz val="11"/>
        <color theme="1"/>
        <rFont val="Microsoft YaHei"/>
        <family val="2"/>
        <charset val="134"/>
      </rPr>
      <t>电压电</t>
    </r>
    <r>
      <rPr>
        <sz val="11"/>
        <color theme="1"/>
        <rFont val="ＭＳ ゴシック"/>
        <family val="3"/>
        <charset val="128"/>
      </rPr>
      <t>池升</t>
    </r>
    <r>
      <rPr>
        <sz val="11"/>
        <color theme="1"/>
        <rFont val="Microsoft YaHei"/>
        <family val="2"/>
        <charset val="134"/>
      </rPr>
      <t>压</t>
    </r>
    <r>
      <rPr>
        <sz val="11"/>
        <color theme="1"/>
        <rFont val="ＭＳ ゴシック"/>
        <family val="3"/>
        <charset val="128"/>
      </rPr>
      <t>至</t>
    </r>
    <r>
      <rPr>
        <sz val="11"/>
        <color theme="1"/>
        <rFont val="Microsoft YaHei"/>
        <family val="2"/>
        <charset val="134"/>
      </rPr>
      <t>稳</t>
    </r>
    <r>
      <rPr>
        <sz val="11"/>
        <color theme="1"/>
        <rFont val="ＭＳ ゴシック"/>
        <family val="3"/>
        <charset val="128"/>
      </rPr>
      <t>定工作</t>
    </r>
    <r>
      <rPr>
        <sz val="11"/>
        <color theme="1"/>
        <rFont val="Microsoft YaHei"/>
        <family val="2"/>
        <charset val="134"/>
      </rPr>
      <t>电压，好像已经有了</t>
    </r>
    <phoneticPr fontId="4"/>
  </si>
  <si>
    <t>モータードライバ</t>
    <phoneticPr fontId="4"/>
  </si>
  <si>
    <t>是否购买</t>
    <phoneticPr fontId="4"/>
  </si>
  <si>
    <t>6月11到货</t>
    <phoneticPr fontId="4"/>
  </si>
  <si>
    <t>6月18号到28号</t>
    <phoneticPr fontId="4"/>
  </si>
  <si>
    <t>6月4号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</si>
</sst>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1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28"/>
      <scheme val="minor"/>
    </font>
    <font>
      <sz val="11"/>
      <color theme="1"/>
      <name val="等线"/>
      <family val="2"/>
      <charset val="128"/>
      <scheme val="minor"/>
    </font>
    <font>
      <sz val="11"/>
      <color theme="1"/>
      <name val="等线"/>
      <family val="2"/>
      <charset val="128"/>
      <scheme val="minor"/>
    </font>
    <font>
      <sz val="6"/>
      <name val="等线"/>
      <family val="3"/>
      <charset val="128"/>
      <scheme val="minor"/>
    </font>
    <font>
      <sz val="11"/>
      <color theme="1"/>
      <name val="Meiryo UI"/>
      <family val="3"/>
      <charset val="128"/>
    </font>
    <font>
      <u/>
      <sz val="11"/>
      <color theme="10"/>
      <name val="等线"/>
      <family val="2"/>
      <scheme val="minor"/>
    </font>
    <font>
      <u/>
      <sz val="11"/>
      <color theme="10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1"/>
      <color theme="4"/>
      <name val="等线"/>
      <family val="2"/>
      <scheme val="minor"/>
    </font>
    <font>
      <sz val="11"/>
      <color theme="1"/>
      <name val="Microsoft YaHei"/>
      <family val="2"/>
      <charset val="134"/>
    </font>
    <font>
      <sz val="11"/>
      <color theme="1"/>
      <name val="ＭＳ ゴシック"/>
      <family val="3"/>
      <charset val="128"/>
    </font>
    <font>
      <u/>
      <sz val="11"/>
      <color theme="10"/>
      <name val="游ゴシック"/>
      <family val="2"/>
      <charset val="128"/>
    </font>
    <font>
      <sz val="11"/>
      <color theme="1"/>
      <name val="游ゴシック"/>
      <family val="2"/>
      <charset val="128"/>
    </font>
    <font>
      <sz val="11"/>
      <color theme="1"/>
      <name val="Noto Sans JP"/>
      <family val="2"/>
      <charset val="134"/>
    </font>
    <font>
      <sz val="11"/>
      <color rgb="FFFF0000"/>
      <name val="等线"/>
      <family val="2"/>
      <scheme val="minor"/>
    </font>
    <font>
      <sz val="11"/>
      <color rgb="FFFF0000"/>
      <name val="Microsoft YaHei"/>
      <family val="2"/>
      <charset val="134"/>
    </font>
    <font>
      <sz val="11"/>
      <color rgb="FFFF000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7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28">
    <xf numFmtId="0" fontId="0" fillId="0" borderId="0" xfId="0"/>
    <xf numFmtId="0" fontId="5" fillId="0" borderId="0" xfId="0" applyFont="1"/>
    <xf numFmtId="0" fontId="6" fillId="0" borderId="0" xfId="1"/>
    <xf numFmtId="0" fontId="6" fillId="0" borderId="0" xfId="2"/>
    <xf numFmtId="0" fontId="6" fillId="0" borderId="0" xfId="1" applyAlignment="1">
      <alignment vertical="center"/>
    </xf>
    <xf numFmtId="0" fontId="2" fillId="0" borderId="0" xfId="6">
      <alignment vertical="center"/>
    </xf>
    <xf numFmtId="0" fontId="2" fillId="0" borderId="1" xfId="6" applyBorder="1">
      <alignment vertical="center"/>
    </xf>
    <xf numFmtId="0" fontId="7" fillId="0" borderId="1" xfId="4" applyBorder="1">
      <alignment vertical="center"/>
    </xf>
    <xf numFmtId="0" fontId="2" fillId="2" borderId="1" xfId="6" applyFill="1" applyBorder="1">
      <alignment vertical="center"/>
    </xf>
    <xf numFmtId="0" fontId="7" fillId="2" borderId="1" xfId="4" applyFill="1" applyBorder="1">
      <alignment vertical="center"/>
    </xf>
    <xf numFmtId="0" fontId="1" fillId="0" borderId="1" xfId="6" applyFont="1" applyBorder="1">
      <alignment vertical="center"/>
    </xf>
    <xf numFmtId="176" fontId="2" fillId="0" borderId="1" xfId="6" applyNumberFormat="1" applyBorder="1">
      <alignment vertical="center"/>
    </xf>
    <xf numFmtId="176" fontId="2" fillId="2" borderId="1" xfId="6" applyNumberFormat="1" applyFill="1" applyBorder="1">
      <alignment vertical="center"/>
    </xf>
    <xf numFmtId="176" fontId="1" fillId="0" borderId="1" xfId="6" applyNumberFormat="1" applyFont="1" applyBorder="1">
      <alignment vertical="center"/>
    </xf>
    <xf numFmtId="0" fontId="6" fillId="3" borderId="2" xfId="2" applyFill="1" applyBorder="1" applyAlignment="1"/>
    <xf numFmtId="0" fontId="6" fillId="0" borderId="2" xfId="2" applyFill="1" applyBorder="1" applyAlignment="1"/>
    <xf numFmtId="0" fontId="6" fillId="0" borderId="0" xfId="2" applyFill="1" applyBorder="1" applyAlignment="1"/>
    <xf numFmtId="0" fontId="6" fillId="0" borderId="2" xfId="1" applyBorder="1"/>
    <xf numFmtId="0" fontId="6" fillId="0" borderId="0" xfId="1" applyBorder="1"/>
    <xf numFmtId="0" fontId="9" fillId="0" borderId="2" xfId="0" applyFont="1" applyBorder="1"/>
    <xf numFmtId="0" fontId="6" fillId="3" borderId="0" xfId="1" applyFill="1"/>
    <xf numFmtId="0" fontId="6" fillId="3" borderId="0" xfId="1" applyFill="1" applyAlignment="1">
      <alignment vertical="center"/>
    </xf>
    <xf numFmtId="0" fontId="0" fillId="2" borderId="0" xfId="0" applyFill="1"/>
    <xf numFmtId="0" fontId="6" fillId="2" borderId="2" xfId="1" applyFill="1" applyBorder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/>
    <xf numFmtId="0" fontId="10" fillId="2" borderId="0" xfId="0" applyFont="1" applyFill="1" applyAlignment="1">
      <alignment wrapText="1"/>
    </xf>
  </cellXfs>
  <cellStyles count="7">
    <cellStyle name="Hyperlink" xfId="2" xr:uid="{00000000-000B-0000-0000-000008000000}"/>
    <cellStyle name="ハイパーリンク" xfId="1" builtinId="8"/>
    <cellStyle name="ハイパーリンク 2" xfId="4" xr:uid="{C09A6A6A-F62A-4209-9B7D-3DBCB8A3DB3E}"/>
    <cellStyle name="標準" xfId="0" builtinId="0"/>
    <cellStyle name="標準 2" xfId="3" xr:uid="{BB228D34-1C06-4DBD-B907-65E8F206B71C}"/>
    <cellStyle name="標準 3" xfId="5" xr:uid="{31B9E61D-31F5-45A9-B941-873D78EB7AB5}"/>
    <cellStyle name="標準 4" xfId="6" xr:uid="{120CD9E1-07B9-41E4-9A21-148AC084B178}"/>
  </cellStyles>
  <dxfs count="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21E09E-4052-4F6C-A265-A1B88CA6434C}" name="購入希望リスト45" displayName="購入希望リスト45" ref="A3:M36" totalsRowShown="0">
  <autoFilter ref="A3:M36" xr:uid="{07B9C892-8FE0-4728-B781-8808F5EC4F98}"/>
  <sortState xmlns:xlrd2="http://schemas.microsoft.com/office/spreadsheetml/2017/richdata2" ref="A4:B36">
    <sortCondition ref="A3:A36"/>
  </sortState>
  <tableColumns count="13">
    <tableColumn id="1" xr3:uid="{B05D1507-FE6B-47B2-AED8-55F5061D04B1}" name="No"/>
    <tableColumn id="7" xr3:uid="{3866089F-75F9-4A50-9E20-2D8BD86156E5}" name="商品のリンク" dataCellStyle="Hyperlink"/>
    <tableColumn id="2" xr3:uid="{139088C0-26AF-414B-BA3C-7D964AAF191B}" name="チームあたりの必要数"/>
    <tableColumn id="5" xr3:uid="{78491415-9033-4DAC-90F2-867EE13D7468}" name="１中西 "/>
    <tableColumn id="9" xr3:uid="{46CDFC57-D875-4DCE-BD9F-53DAAAB2EF06}" name="2 本橋"/>
    <tableColumn id="8" xr3:uid="{8ACA7BA5-AC0B-43F3-B28D-D1FA2AA3D924}" name="3 布施"/>
    <tableColumn id="13" xr3:uid="{4A0A6C75-1654-4209-82BC-AAB0577F72E4}" name="是否购买"/>
    <tableColumn id="6" xr3:uid="{028B9E6F-90DB-4B41-A577-FE6C84F2ACA0}" name="4 ZHANG"/>
    <tableColumn id="10" xr3:uid="{CB2202A3-F14E-4346-9A40-2C88B3CC968F}" name="4/16時点の保持数" dataDxfId="2">
      <calculatedColumnFormula>購入希望リスト45[[#This Row],[在庫数]]-SUM(購入希望リスト45[[#This Row],[１中西 ]:[4 ZHANG]])</calculatedColumnFormula>
    </tableColumn>
    <tableColumn id="4" xr3:uid="{3641E25F-6B5B-4274-9608-94EC8EACCC5E}" name="在庫数"/>
    <tableColumn id="3" xr3:uid="{A9BD06A8-C84D-49A1-B6E9-383DD9C2C83F}" name="備考" dataDxfId="1"/>
    <tableColumn id="11" xr3:uid="{341918FE-3DEE-454A-9907-A6BA210D9F6B}" name="列1" dataDxfId="0"/>
    <tableColumn id="12" xr3:uid="{4E1A7947-8520-448C-A510-E26CD9A2EC34}" name="列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.jp/VKLSVAN-5%E5%80%8B%E3%82%BB%E3%83%83%E3%83%88-DRV8833-DC%E3%83%A2%E3%83%BC%E3%82%BF%E3%83%BC%E3%83%89%E3%83%A9%E3%82%A4%E3%83%96%E3%83%A2%E3%82%B8%E3%83%A5%E3%83%BC%E3%83%AB-%E3%83%87%E3%83%A5%E3%82%A2%E3%83%AB%E3%83%A2%E3%83%BC%E3%82%BF%E3%83%BC%E3%83%89%E3%83%A9%E3%82%A4%E3%83%90%E3%83%BC%E3%83%89%E3%83%A9%E3%82%A4%E3%83%90%E3%83%BC%E3%83%9C%E3%83%BC%E3%83%89/dp/B098Q24ZV9/ref=sr_1_5?__mk_ja_JP=%E3%82%AB%E3%82%BF%E3%82%AB%E3%83%8A&amp;crid=2O1HQAFBIXVBA&amp;dib=eyJ2IjoiMSJ9.bDDHKmP4h74Y1fgBYVMFFGU5u1H6jt5bVKO7ywty8JLhVN1so_3LBH66VdcDSoncylunsuU6WF83NPS6Fp8Cbi6NmB1Zqo8qAF8tKNVjN6XXxPW6hBiGbgw156TbzjnG_nXD0m8r17Q2Ad0U80dvyBtjkgVTI5UbB5vgLL95VOXmKtpLIYwwQ6oejBHnyyAxING-hSf9-yofJ1G1aClMjB7gWT6MxQmRirbPN_U67e-3sO_pkjWbJWeuxnJ5ouTAwVMUc2WI3epQGa05po5mAASGz-a5iuPSD35QiyZ9g_E.7fAsyn955nO9LNGQ8wpPmspVZ3afNvlIL_8K0b6tBbI&amp;dib_tag=se&amp;keywords=%E3%83%A2%E3%83%BC%E3%82%BF%E3%83%BC%E3%83%89%E3%83%A9%E3%82%A4%E3%83%90&amp;qid=1769663122&amp;sprefix=%E3%83%A2%E3%83%BC%E3%82%BF%E3%83%BC%E3%83%89%E3%83%A9%E3%82%A4%E3%83%90%2Caps%2C186&amp;sr=8-5" TargetMode="External"/><Relationship Id="rId13" Type="http://schemas.openxmlformats.org/officeDocument/2006/relationships/hyperlink" Target="https://ja.aliexpress.com/item/1005007482548086.html?spm=a2g0o.productlist.main.33.7b5b577b4ScsMr&amp;algo_pvid=618e182d-ba5a-4ad4-8497-f1b496181966&amp;algo_exp_id=618e182d-ba5a-4ad4-8497-f1b496181966-32&amp;pdp_ext_f=%7B%22order%22%3A%22129%22%2C%22eval%22%3A%221%22%2C%22fromPage%22%3A%22search%22%7D&amp;pdp_npi=6%40dis%21JPY%21307%21155%21%21%211.96%210.99%21%40212e520d17697483243643637ec5f5%2112000040944105862%21sea%21JP%216445454035%21ABX%211%210%21n_tag%3A-29910%3Bd%3A86373b6%3Bm03_new_user%3A-29895%3BpisId%3A5000000197845739&amp;curPageLogUid=BsU3WgiZtCOE&amp;utparam-url=scene%3Asearch%7Cquery_from%3A%7Cx_object_id%3A1005007482548086%7C_p_origin_prod%3A" TargetMode="External"/><Relationship Id="rId18" Type="http://schemas.openxmlformats.org/officeDocument/2006/relationships/hyperlink" Target="https://www.amazon.co.jp/uxcell-%E3%83%9E%E3%82%A4%E3%82%AF%E3%83%AD%E3%82%BF%E3%82%AF%E3%83%88%E3%82%B9%E3%82%A4%E3%83%83%E3%83%81-%E6%8A%BC%E3%81%97%E3%83%9C%E3%82%BF%E3%83%B3%E3%82%B9%E3%82%A4%E3%83%83%E3%83%81-6x6x9mm-DC12V/dp/B07H7H39X1/ref=sr_1_54?__mk_ja_JP=%E3%82%AB%E3%82%BF%E3%82%AB%E3%83%8A&amp;crid=BLPWWGLXV399&amp;dib=eyJ2IjoiMSJ9.yzfTrrg-Pc7sU7gF0h2u7OQoYb-tSN4Vfeu3GZIU4JB-PIKnWJIVb8HIcDqSAJ3_Q1Cm5TSNtGRYoEGfzTWyPuAP6F8yfJGh-XGjBQPyg7g.qI4ot0S7hE3V37RDjjCXys36IE91QZhf8UX-8iBtKsU&amp;dib_tag=se&amp;keywords=%E3%82%BF%E3%82%AF%E3%83%88%E3%82%B9%E3%82%A4%E3%83%83%E3%83%81&amp;qid=1769749980&amp;sprefix=%E3%82%BF%E3%82%AF%E3%83%88%E3%82%B9%E3%82%A4%E3%83%83%E3%83%81%2Caps%2C184&amp;sr=8-54&amp;xpid=wJd5X8_kznYuL" TargetMode="External"/><Relationship Id="rId3" Type="http://schemas.openxmlformats.org/officeDocument/2006/relationships/hyperlink" Target="https://www.amazon.co.jp/%E3%82%BF%E3%83%9F%E3%83%A4-%E6%A5%BD%E3%81%97%E3%81%84%E5%B7%A5%E4%BD%9C%E3%82%B7%E3%83%AA%E3%83%BC%E3%82%BA-No-145-%E3%83%8A%E3%83%AD%E3%83%BC%E3%82%BF%E3%82%A4%E3%83%A4%E3%82%BB%E3%83%83%E3%83%88-58mm%E5%BE%84/dp/B001VZJDZ6/ref=pd_sim_d_sccl_3_15/358-1699914-2968216?pd_rd_w=BWzc4&amp;content-id=amzn1.sym.3474371e-c251-45d0-b7dd-181708817ec8&amp;pf_rd_p=3474371e-c251-45d0-b7dd-181708817ec8&amp;pf_rd_r=E2NQF5SHGXT69PA32FZP&amp;pd_rd_wg=eGVBj&amp;pd_rd_r=d5d5dee6-1b64-45b0-a4e0-0ce9f987c82f&amp;pd_rd_i=B001VZJDZ6&amp;psc=1" TargetMode="External"/><Relationship Id="rId7" Type="http://schemas.openxmlformats.org/officeDocument/2006/relationships/hyperlink" Target="https://www.amazon.co.jp/ELPA-HK-SM04H-%E3%82%B9%E3%82%BA%E3%83%A1%E3%83%83%E3%82%AD%E7%B7%9A-%CF%860-4mm/dp/B00BECS36Q/ref=sr_1_2?__mk_ja_JP=%E3%82%AB%E3%82%BF%E3%82%AB%E3%83%8A&amp;crid=32ZEJBFSXCZ44&amp;dib=eyJ2IjoiMSJ9.rJ7nM5kuStFpi0gt0C9l6gHQdqVwcFYXhIEpKk7NHP7mxkqQ03hDIdl9mJ51nysbbZ73iMOAgAvxEoNya9XxSKUuG2tX8ZJhdMdWXqXfDA--UpLaJdoBW22nnNbozfx8q3Lw93M_QGM1cPF9BRIRsQvSYBP8wKYgGTOds9DGroYECqXTiJi5Fw58Weqq0Hj23GjIJx142jzzgCwlFCULtsXNp4kbCvByfOaWW7ay1-2Do76BkxHi3Vk8cqyoVNzQDCYhlhIm7KK9xQKy3ZmHeav7dDqM5BdbldbJpRVtsqM.shv7m_yntTqTSqGBhGA_G0UsEBvhTKSukaIzL_UKGII&amp;dib_tag=se&amp;keywords=%E3%83%A6%E3%83%8B%E3%83%90%E3%83%BC%E3%82%B5%E3%83%AB%E5%9F%BA%E7%9B%A4%2B%E9%85%8D%E7%B7%9A&amp;qid=1769662729&amp;sprefix=%E3%83%A6%E3%83%8B%E3%83%90%E3%83%BC%E3%82%B5%E3%83%AB%E5%9F%BA%E7%9B%A4%2B%E9%85%8D%E7%B7%9A%2Caps%2C175&amp;sr=8-2&amp;th=1" TargetMode="External"/><Relationship Id="rId12" Type="http://schemas.openxmlformats.org/officeDocument/2006/relationships/hyperlink" Target="https://www.amazon.co.jp/%E3%80%9050m%E3%83%AA%E3%83%BC%E3%83%AB%E5%B7%BB%E3%80%91%E5%8D%98%E7%B7%9A-%E3%82%B5%E3%83%B3%E3%82%B3%E3%83%BC%E9%9B%BB%E5%95%86-0-65mm-%E3%82%B8%E3%83%A3%E3%83%B3%E3%83%91%E3%83%BC%E3%83%AF%E3%82%A4%E3%83%A4%E3%83%BC-%E9%9B%BB%E5%AD%90%E5%B7%A5%E4%BD%9C%E3%83%BB%E8%A9%A6%E9%A8%93%E7%94%A8%E3%83%BB%E3%83%96%E3%83%AC%E3%83%83%E3%83%89%E3%83%9C%E3%83%BC%E3%83%89%E5%AF%BE%E5%BF%9C/dp/B0FXCLDYVZ/ref=sr_1_1_sspa?__mk_ja_JP=%E3%82%AB%E3%82%BF%E3%82%AB%E3%83%8A&amp;crid=2C238QPSWC1WP&amp;dib=eyJ2IjoiMSJ9.ZddG-ky6sgFRzOkANKholFaRmrG-tp36nbnf4yByjZawpHp5SmcwMpKADlaDSX9BGWqcYl9CpXj3NWDoy1wAy60HivWfQii4B3Ug7Eex7iKI0A_voUovf-OIs_Wj7rhT0pUzRZ396YHdn9993ZDgmpEua4V4D0kr8OVyf2Kxsf27faQ1vfFCYD452rDWdoeort586VzM2K6HtXZNHRwxlI6iqdKaxhxiFCTjDtk_CK9EYsSCf3yH0waxV3q5JeJIUKsDKUOi6G5H0s3NoMutpZfRwvX3r8eNkXcm9MBVZKk.R8_KiqA34StL_7WbYENEZlYyEhCbsg-vAM2zQATXUbk&amp;dib_tag=se&amp;keywords=%E3%83%93%E3%83%8B%E3%83%BC%E3%83%AB%E7%B7%9A&amp;qid=1769747906&amp;sprefix=%E3%83%93%E3%83%8B%E3%83%BC%E3%83%AB%E7%B7%9A%2Caps%2C199&amp;sr=8-1-spons&amp;sp_csd=d2lkZ2V0TmFtZT1zcF9hdGY&amp;th=1" TargetMode="External"/><Relationship Id="rId17" Type="http://schemas.openxmlformats.org/officeDocument/2006/relationships/hyperlink" Target="https://www.amazon.co.jp/Chanzon-0-25W-%E9%87%91%E5%B1%9E%E8%86%9C%E5%9B%BA%E5%AE%9A%E6%8A%B5%E6%8A%97%E5%99%A8-0-01-%E3%82%B9%E3%83%AB%E3%83%BC%E3%83%9B%E3%83%BC%E3%83%AB%E6%8A%B5%E6%8A%97%E5%99%A8/dp/B08QRT11GG/ref=sr_1_1_sspa?__mk_ja_JP=%E3%82%AB%E3%82%BF%E3%82%AB%E3%83%8A&amp;crid=26CI02AQ5YDG9&amp;dib=eyJ2IjoiMSJ9.MxA0wXcQ_Aen75YE2M3k04OcRov5S1wFnsJF_a4lOSGC7yrnaEeKn2J4i-UxQ9l8-LWxh0QbDKnoM4usHhcIZtEXaPF7lDBRZnJ-dAr8Qm-LBnGEakYy3v3pDOALA-3j-7T6tttGsd6K2ZrSTCp0XW_QEM9GuR6Vs-fuJku-RBCQLc5RAFeyf55ZQsbY2yW7W1x27cWSNoJuTi_c2CPoZyV0wHTgVQFyjmJTDhuRx7p9n0yRa-JlyDd2Iyk9_GYOrss-FVXhAPzUMIjtOrvj4UtjoaOeOJ6HQ0DR-b0e54Q.vtbUJ3ZFPzJEjnNkWASI5cknL-w8x3i6xvBs0Nh9bGA&amp;dib_tag=se&amp;keywords=%E6%8A%B5%E6%8A%97%2B100%E3%82%AA%E3%83%BC%E3%83%A0&amp;qid=1769749859&amp;sprefix=%E6%8A%B5%E6%8A%97%2B100%E3%82%AA%E3%83%BC%E3%83%A0%2Caps%2C175&amp;sr=8-1-spons&amp;sp_csd=d2lkZ2V0TmFtZT1zcF9hdGY&amp;th=1" TargetMode="External"/><Relationship Id="rId2" Type="http://schemas.openxmlformats.org/officeDocument/2006/relationships/hyperlink" Target="https://www.amazon.co.jp/%E3%82%BF%E3%83%9F%E3%83%A4-%E6%A5%BD%E3%81%97%E3%81%84%E5%B7%A5%E4%BD%9C%E3%82%B7%E3%83%AA%E3%83%BC%E3%82%BA-No-157-%E3%83%A6%E3%83%8B%E3%83%90%E3%83%BC%E3%82%B5%E3%83%AB%E3%83%97%E3%83%AC%E3%83%BC%E3%83%88-2%E6%9E%9A%E3%82%BB%E3%83%83%E3%83%88/dp/B001VZHRXG/ref=sr_1_1?__mk_ja_JP=%E3%82%AB%E3%82%BF%E3%82%AB%E3%83%8A&amp;crid=3FMIEL6GLLE15&amp;dib=eyJ2IjoiMSJ9.kxn6uz0BC44D7fA1ssxGWjnjvBiAS7jkplX7S1-mLYUCseR7xljDq8UQnmWJ4QK_7EN49VKHGyx6wLkuAzl3roEhLS6TuSljfzHZhqtVuDSAf435Siqrfb-H4j_wLDA0.zQx5JlwOEo8ZcAU53-DvVC8h9WhIs2yXxMPgunYhH0E&amp;dib_tag=se&amp;keywords=%E7%94%B0%E5%AE%AE+%E3%83%A6%E3%83%8B%E3%83%90%E3%83%BC%E3%82%B5%E3%83%AB%E3%83%97%E3%83%AC%E3%83%BC%E3%83%88&amp;qid=1769661378&amp;sprefix=%E7%94%B0%E5%AE%AE+%E3%83%A6%E3%83%8B%E3%83%90%E3%83%BC%E3%82%B5%E3%83%AB%E3%83%97%E3%83%AC%E3%83%BC%E3%83%88%2Caps%2C264&amp;sr=8-1" TargetMode="External"/><Relationship Id="rId16" Type="http://schemas.openxmlformats.org/officeDocument/2006/relationships/hyperlink" Target="https://www.amazon.co.jp/uxcell-%E7%82%AD%E7%B4%A0%E7%9A%AE%E8%86%9C%E6%8A%B5%E6%8A%97-%E3%82%AB%E3%83%BC%E3%83%9C%E3%83%B3%E6%8A%B5%E6%8A%97%E5%99%A8-%E9%85%B8%E9%87%91%E6%8A%B5%E6%8A%97-%E8%A8%B1%E5%AE%B9%E5%B7%AE5/dp/B01AG0Z81E/ref=sr_1_5?crid=3TJJD5DETTLV6&amp;dib=eyJ2IjoiMSJ9.0en-yw0xXfOl2PBuQ18RnuZbPSOZCaRAZfpd850IwYOxUvElxYwHNpwb-3BxQ0GfaqRA0BlCiGlb89TGWvgPq2JM1iBIpL1UipuTlab7ysUlDtQCH2Rn9mr0mSnXT0LXiVKC-F27qpldHL4xTPGawWAkCU6SB-4gYYaRsszk1bLgJga55kxVTgzsChW_nxZym4Rs8wx-qVsgnKSaTXUJhNm8KiTXmzxd9B3QjD-BGgsJQ3ASKQjUQQYD5MMhQqD8VpCSZ8yS6--JrY_fJJR51rydjd8Ax4UrDN-lJ7dRE9E.CrpQkpduYs5wQGUZIRJ2qCFba2uJeyp_ikBHt39EKYg&amp;dib_tag=se&amp;keywords=%E6%8A%B5%E6%8A%97+10k%E3%82%AA%E3%83%BC%E3%83%A0&amp;qid=1769749341&amp;sprefix=%E6%8A%B5%E6%8A%97+10k%2Caps%2C215&amp;sr=8-5" TargetMode="External"/><Relationship Id="rId1" Type="http://schemas.openxmlformats.org/officeDocument/2006/relationships/hyperlink" Target="https://www.amazon.co.jp/%E3%82%BF%E3%83%9F%E3%83%A4-%E6%A5%BD%E3%81%97%E3%81%84%E5%B7%A5%E4%BD%9C%E3%82%B7%E3%83%AA%E3%83%BC%E3%82%BA-No-168-%E3%83%80%E3%83%96%E3%83%AB%E3%82%AE%E3%83%A4%E3%83%9C%E3%83%83%E3%82%AF%E3%82%B9-%E5%B7%A6%E5%8F%B3%E7%8B%AC%E7%AB%8B4%E9%80%9F%E3%82%BF%E3%82%A4%E3%83%97/dp/B001Q13BIU/ref=sr_1_7?__mk_ja_JP=%E3%82%AB%E3%82%BF%E3%82%AB%E3%83%8A&amp;crid=KZXFTY86L4WO&amp;dib=eyJ2IjoiMSJ9.Mvcc9Qy_Zcpac0Bxa2nLgX2QKvuk8ZZWEDQCAwqQmL6g0afQXKgo5rhj-9Y_W-F5r1BDEQztj4VydHiNXg1V0-fClINhnqjFaEh9dMMtZECqo9JREEVl6uV3SRwAiYuc2d8AjLLAUOw9cd9eqsHUKICYqKlBN2KRju-m7Arb4o_FjCQCBBtJaJCZB59RT14npljtS1qn-uVXXmb48ZK90k8sQVzCn_xtYbyz1PxlvPl8OkxYDiDqRheN96gMl8M5wBKLQHBSPsG9zfcvYiTWIznrBT1EYDEHLhhbo9lPM4I.uwu-Jo-lCd9IAmw-nabugLKKcreDAGAxg81eYOcTa6g&amp;dib_tag=se&amp;keywords=%E7%94%B0%E5%AE%AE+%E3%82%AE%E3%82%A2%E3%83%9C%E3%83%83%E3%82%AF%E3%82%B9&amp;qid=1769661258&amp;sprefix=%E7%94%B0%E5%AE%AE+%E3%82%AE%E3%82%A2%E3%83%9C%E3%83%83%E3%82%AF%E3%82%B9%2Caps%2C177&amp;sr=8-7" TargetMode="External"/><Relationship Id="rId6" Type="http://schemas.openxmlformats.org/officeDocument/2006/relationships/hyperlink" Target="https://www.amazon.co.jp/%E3%82%B5%E3%83%B3%E3%83%8F%E3%83%A4%E3%83%88-ICB-293U-%E5%B0%8F%E5%9E%8B%E3%83%A6%E3%83%8B%E3%83%90%E3%83%BC%E3%82%B5%E3%83%AB%E5%9F%BA%E6%9D%BF/dp/B00J7LDPNC/ref=pd_sbs_d_sccl_2_10/358-1699914-2968216?pd_rd_w=975YP&amp;content-id=amzn1.sym.06c48127-87ed-46e1-9c82-5caa3f707eab&amp;pf_rd_p=06c48127-87ed-46e1-9c82-5caa3f707eab&amp;pf_rd_r=GSMHFCK2B87JFVVWMVHM&amp;pd_rd_wg=UUr8x&amp;pd_rd_r=993ad29a-c605-4967-b823-91a6109d8619&amp;pd_rd_i=B00J7LDPNC&amp;th=1" TargetMode="External"/><Relationship Id="rId11" Type="http://schemas.openxmlformats.org/officeDocument/2006/relationships/hyperlink" Target="https://www.amazon.co.jp/Chanzon%E3%83%94%E3%83%B3%E3%83%98%E3%83%83%E3%83%80%E3%83%BC-40%E3%83%94%E3%83%B3x20%E5%80%8B-%E3%83%94%E3%83%83%E3%83%812-54mm-PCB%E3%80%81Arduino-Gpio%E3%80%81%E3%82%B3%E3%83%8D%E3%82%AF%E3%82%BF%E3%80%81%E3%83%9E%E3%82%B7%E3%83%B3%E7%94%A8/dp/B09NN7GYZM/ref=sxin_14_pa_sp_search_thematic_sspa?__mk_ja_JP=%E3%82%AB%E3%82%BF%E3%82%AB%E3%83%8A&amp;content-id=amzn1.sym.f5e2a1f5-01b9-42e1-8277-dbb100dbc467%3Aamzn1.sym.f5e2a1f5-01b9-42e1-8277-dbb100dbc467&amp;crid=25YL4IB83S7O1&amp;cv_ct_cx=%E3%83%94%E3%83%B3%E3%83%98%E3%83%83%E3%83%80&amp;keywords=%E3%83%94%E3%83%B3%E3%83%98%E3%83%83%E3%83%80&amp;pd_rd_i=B09NN7GYZM&amp;pd_rd_r=27664762-1a62-4f13-b652-33057a3ca800&amp;pd_rd_w=GJBeu&amp;pd_rd_wg=Gprn3&amp;pf_rd_p=f5e2a1f5-01b9-42e1-8277-dbb100dbc467&amp;pf_rd_r=AAXCPYM7QMCCWMYAEB5Q&amp;qid=1769747506&amp;sbo=RZvfv%2F%2FHxDF%2BO5021pAnSA%3D%3D&amp;sprefix=%E3%83%94%E3%83%B3%E3%83%98%E3%83%83%E3%83%80%2Caps%2C172&amp;sr=1-3-9ad0563b-de06-426f-a1d3-3a92323660bd-spons&amp;sp_csd=d2lkZ2V0TmFtZT1zcF9zZWFyY2hfdGhlbWF0aWM&amp;th=1" TargetMode="External"/><Relationship Id="rId5" Type="http://schemas.openxmlformats.org/officeDocument/2006/relationships/hyperlink" Target="https://www.amazon.co.jp/dp/B08B63VNCH/ref=sspa_dk_detail_6?psc=1&amp;pd_rd_i=B08B63VNCH&amp;pd_rd_w=cKHCn&amp;content-id=amzn1.sym.f293be60-50b7-49bc-95e8-931faf86ed1e&amp;pf_rd_p=f293be60-50b7-49bc-95e8-931faf86ed1e&amp;pf_rd_r=7EPJX6P40MVGM92SEQ2G&amp;pd_rd_wg=xWXxo&amp;pd_rd_r=e9493a3d-e52c-4725-995b-5d909e7d45ad&amp;sp_csd=d2lkZ2V0TmFtZT1zcF9kZXRhaWw" TargetMode="External"/><Relationship Id="rId15" Type="http://schemas.openxmlformats.org/officeDocument/2006/relationships/hyperlink" Target="https://www.amazon.co.jp/YOUMILE-TS-YM-101-250%E3%83%91%E3%83%83%E3%82%AF%EF%BC%885%E8%89%B2x-50%E3%83%91%E3%83%83%E3%82%AF%EF%BC%893mm-LED%E7%99%BA%E5%85%89%E3%83%80%E3%82%A4%E3%82%AA%E3%83%BC%E3%83%89%E3%83%A9%E3%83%B3%E3%83%97%E6%8B%A1%E6%95%A3%E3%82%A2%E3%82%BD%E3%83%BC%E3%83%88%E3%82%AD%E3%83%83%E3%83%88%EF%BC%88%E3%83%9B%E3%83%AF%E3%82%A4%E3%83%88%E3%83%AC%E3%83%83%E3%83%89%E3%82%B0%E3%83%AA%E3%83%BC%E3%83%B3%E3%83%96%E3%83%AB%E3%83%BC%E3%82%A4%E3%82%A8%E3%83%AD%E3%83%BC%EF%BC%89/dp/B084VNJF7M/ref=sxin_14_pa_sp_search_thematic_sspa?content-id=amzn1.sym.77a1c6a0-6efc-4279-81ef-1901dbd589d5%3Aamzn1.sym.77a1c6a0-6efc-4279-81ef-1901dbd589d5&amp;cv_ct_cx=LED&amp;keywords=LED&amp;pd_rd_i=B084VNJF7M&amp;pd_rd_r=9f9c2cd8-6ef3-400e-8216-f7662b37284c&amp;pd_rd_w=7hPmE&amp;pd_rd_wg=rRQbF&amp;pf_rd_p=77a1c6a0-6efc-4279-81ef-1901dbd589d5&amp;pf_rd_r=MPSYXK2ZVE5ABV2Y471E&amp;qid=1769749092&amp;sbo=RZvfv%2F%2FHxDF%2BO5021pAnSA%3D%3D&amp;sr=1-1-6c02463e-e96e-4fdb-91c8-e326f266380f-spons&amp;sp_csd=d2lkZ2V0TmFtZT1zcF9zZWFyY2hfdGhlbWF0aWM&amp;psc=1" TargetMode="External"/><Relationship Id="rId10" Type="http://schemas.openxmlformats.org/officeDocument/2006/relationships/hyperlink" Target="https://ja.aliexpress.com/item/1005005953505528.html?spm=a2g0o.detail.pcDetailTopMoreOtherSeller.1.78ccgT6qgT6q56&amp;gps-id=pcDetailTopMoreOtherSeller&amp;scm=1007.40050.354490.0&amp;scm_id=1007.40050.354490.0&amp;scm-url=1007.40050.354490.0&amp;pvid=fd61446c-1886-4bf3-9f5d-45b3a08e0780&amp;_t=gps-id:pcDetailTopMoreOtherSeller,scm-url:1007.40050.354490.0,pvid:fd61446c-1886-4bf3-9f5d-45b3a08e0780,tpp_buckets:668%232846%238114%231999&amp;pdp_ext_f=%7B%22order%22%3A%226565%22%2C%22eval%22%3A%221%22%2C%22sceneId%22%3A%2230050%22%2C%22fromPage%22%3A%22recommend%22%7D&amp;pdp_npi=6%40dis%21JPY%21679%21252%21%21%2130.13%2111.20%21%402140e67317697471681254221ef507%2112000035007650505%21rec%21JP%216445454035%21ABX%211%210%21n_tag%3A-29910%3Bd%3A86373b6%3Bm03_new_user%3A-29895%3BpisId%3A5000000197845687&amp;utparam-url=scene%3ApcDetailTopMoreOtherSeller%7Cquery_from%3A%7Cx_object_id%3A1005005953505528%7C_p_origin_prod%3A" TargetMode="External"/><Relationship Id="rId19" Type="http://schemas.openxmlformats.org/officeDocument/2006/relationships/hyperlink" Target="https://www.amazon.co.jp/goot-%E9%8A%80%E3%83%AC%E3%82%B9%E9%89%9B%E3%83%95%E3%83%AA%E3%83%BC%E3%81%AF%E3%82%93%E3%81%A0-%CE%A61-0mm-%E3%83%8B%E3%83%83%E3%82%B1%E3%83%AB0-05-%E3%82%B2%E3%83%AB%E3%83%9E%E3%83%8B%E3%82%A6%E3%83%A00-01-%E4%BB%A5%E4%B8%8B/dp/B0C8YZ7CJG/ref=pd_sbs_d_sccl_1_6/358-1699914-2968216?pd_rd_w=VfKvJ&amp;content-id=amzn1.sym.06c48127-87ed-46e1-9c82-5caa3f707eab&amp;pf_rd_p=06c48127-87ed-46e1-9c82-5caa3f707eab&amp;pf_rd_r=17R58WS7X8DN0RFNNVZX&amp;pd_rd_wg=7qBCp&amp;pd_rd_r=7f2cc623-710b-4e35-adf2-b395342e2286&amp;pd_rd_i=B0C8YZ7CJG&amp;th=1" TargetMode="External"/><Relationship Id="rId4" Type="http://schemas.openxmlformats.org/officeDocument/2006/relationships/hyperlink" Target="https://www.amazon.co.jp/dp/B0FSZ57CFZ/ref=sspa_dk_detail_3?pf_rd_p=f293be60-50b7-49bc-95e8-931faf86ed1e&amp;pf_rd_r=ET0Y0876R1ADP21WDS8E&amp;pd_rd_wg=ymUG4&amp;pd_rd_w=VgvY5&amp;content-id=amzn1.sym.f293be60-50b7-49bc-95e8-931faf86ed1e&amp;pd_rd_r=9d8b5a54-c720-4a1c-9f72-f0bfefb85f11&amp;sp_csd=d2lkZ2V0TmFtZT1zcF9kZXRhaWw&amp;th=1" TargetMode="External"/><Relationship Id="rId9" Type="http://schemas.openxmlformats.org/officeDocument/2006/relationships/hyperlink" Target="https://www.amazon.co.jp/dp/B0G1KBM28G/ref=sspa_dk_detail_0?psc=1&amp;pd_rd_w=imzva&amp;content-id=amzn1.sym.4519c587-1a66-4b67-a87f-559231103a05&amp;pf_rd_p=4519c587-1a66-4b67-a87f-559231103a05&amp;pf_rd_r=626XDFJPX2NBHXHDYFQZ&amp;pd_rd_wg=1mgUL&amp;pd_rd_r=a6a17c97-5486-4ee0-94c5-01b438f31d65&amp;sp_csd=d2lkZ2V0TmFtZT1zcF9kZXRhaWwy" TargetMode="External"/><Relationship Id="rId14" Type="http://schemas.openxmlformats.org/officeDocument/2006/relationships/hyperlink" Target="https://www.amazon.co.jp/Youmile-%E3%82%B9%E3%83%86%E3%83%83%E3%83%97%E3%82%A2%E3%83%83%E3%83%97%E3%83%96%E3%83%BC%E3%82%B9%E3%83%88%E9%9B%BB%E6%BA%90%E3%82%B3%E3%83%B3%E3%83%90%E3%83%BC%E3%82%BF-2V-24V-%E8%AA%BF%E6%95%B4%E5%8F%AF%E8%83%BD%E3%81%AA%E9%9B%BB%E5%9C%A7%E3%83%AC%E3%82%AE%E3%83%A5%E3%83%AC%E3%83%BC%E3%82%BF%E9%9B%BB%E6%BA%90%E3%83%A2%E3%82%B8%E3%83%A5%E3%83%BC%E3%83%AB-Arduino/dp/B0C5HXZ6HT/ref=sr_1_4?crid=1R8FU82QTCXI9&amp;dib=eyJ2IjoiMSJ9.1B7aG-lE2xQbnjWtZHbm3ZUCLS-PlaraXAd_P36pUN-NCe1OCc0_8Rl2zNJBZpAYZs22kuxyNvUCG_hlb8KIZwkVHI47ivrRjgrm9x_whgUqnwyP-Ht5h1s_R2jAwWY5SMrWzWJxXnyz_B3M_KscVxvplP-MJ9lWT7_95Lt3ixEMZkQvB4Mem_qqqF5KGv2AmMwJrhTWDi0Sq81I8pzCls6VUFE3tBGEzyXEmCZiwMVGguVbyamd8WrtPeoTHD836pMhc7F4q9P7c5Ltlb19RpVE-F35wgVFag5FQQEPlO8.oPOmqZD-nWKV-k4cpXtHJzVym55MUjI5Mz7eIRfcsz4&amp;dib_tag=se&amp;keywords=dcdc+%E3%82%B3%E3%83%B3%E3%83%90%E3%83%BC%E3%82%BF%E3%83%BC+%E3%82%A2%E3%83%83%E3%83%97&amp;qid=1769748444&amp;s=industrial&amp;sprefix=%2Cindustrial%2C160&amp;sr=1-4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kizukidenshi.com/catalog/g/g125223/" TargetMode="External"/><Relationship Id="rId18" Type="http://schemas.openxmlformats.org/officeDocument/2006/relationships/hyperlink" Target="https://www.amazon.co.jp/ELPA-HK-SM04H-%E3%82%B9%E3%82%BA%E3%83%A1%E3%83%83%E3%82%AD%E7%B7%9A-%CF%860-4mm/dp/B00BECS36Q/" TargetMode="External"/><Relationship Id="rId26" Type="http://schemas.openxmlformats.org/officeDocument/2006/relationships/hyperlink" Target="https://akizukidenshi.com/catalog/g/g110474/" TargetMode="External"/><Relationship Id="rId3" Type="http://schemas.openxmlformats.org/officeDocument/2006/relationships/hyperlink" Target="https://www.amazon.co.jp/ACEIRMC-DRV8833-%E3%83%A2%E3%83%BC%E3%82%BF%E3%83%BC%E3%83%89%E3%83%A9%E3%82%A4%E3%83%96%E3%83%A2%E3%82%B8%E3%83%A5%E3%83%BC%E3%83%AB-%E3%83%87%E3%83%A5%E3%82%A2%E3%83%ABH%E3%83%96%E3%83%AA%E3%83%83%E3%82%B8-DC%E3%82%AE%E3%82%A2%E3%83%A2%E3%83%BC%E3%82%BF%E3%83%BC%E3%83%89%E3%83%A9%E3%82%A4%E3%83%90%E3%83%BC%E3%82%B3%E3%83%B3%E3%83%88%E3%83%AD%E3%83%BC%E3%83%A9%E3%83%BC%E3%83%9C%E3%83%BC%E3%83%89/dp/B08RMWTDLM/" TargetMode="External"/><Relationship Id="rId21" Type="http://schemas.openxmlformats.org/officeDocument/2006/relationships/hyperlink" Target="https://akizukidenshi.com/catalog/g/g100181/" TargetMode="External"/><Relationship Id="rId34" Type="http://schemas.openxmlformats.org/officeDocument/2006/relationships/table" Target="../tables/table1.xml"/><Relationship Id="rId7" Type="http://schemas.openxmlformats.org/officeDocument/2006/relationships/hyperlink" Target="https://akizukidenshi.com/catalog/g/g112977/" TargetMode="External"/><Relationship Id="rId12" Type="http://schemas.openxmlformats.org/officeDocument/2006/relationships/hyperlink" Target="https://akizukidenshi.com/catalog/g/g125221/" TargetMode="External"/><Relationship Id="rId17" Type="http://schemas.openxmlformats.org/officeDocument/2006/relationships/hyperlink" Target="https://ja.aliexpress.com/item/1005005953505528.html?spm=a2g0o.detail.pcDetailTopMoreOtherSeller.1.78ccgT6qgT6q56&amp;gps-id=pcDetailTopMoreOtherSeller&amp;scm=1007.40050.354490.0&amp;scm_id=1007.40050.354490.0&amp;scm-url=1007.40050.354490.0&amp;pvid=fd61446c-1886-4bf3-9f5d-45b3a08e0780&amp;_t=gps-id:pcDetailTopMoreOtherSeller,scm-url:1007.40050.354490.0,pvid:fd61446c-1886-4bf3-9f5d-45b3a08e0780,tpp_buckets:668%232846%238114%231999&amp;pdp_ext_f=%7B%22order%22%3A%226565%22%2C%22eval%22%3A%221%22%2C%22sceneId%22%3A%2230050%22%2C%22fromPage%22%3A%22recommend%22%7D&amp;pdp_npi=6%40dis%21JPY%21679%21252%21%21%2130.13%2111.20%21%402140e67317697471681254221ef507%2112000035007650505%21rec%21JP%216445454035%21ABX%211%210%21n_tag%3A-29910%3Bd%3A86373b6%3Bm03_new_user%3A-29895%3BpisId%3A5000000197845687&amp;utparam-url=scene%3ApcDetailTopMoreOtherSeller%7Cquery_from%3A%7Cx_object_id%3A1005005953505528%7C_p_origin_prod%3A" TargetMode="External"/><Relationship Id="rId25" Type="http://schemas.openxmlformats.org/officeDocument/2006/relationships/hyperlink" Target="https://akizukidenshi.com/catalog/g/g115554/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akizukidenshi.com/catalog/g/g100167/" TargetMode="External"/><Relationship Id="rId16" Type="http://schemas.openxmlformats.org/officeDocument/2006/relationships/hyperlink" Target="https://www.amazon.co.jp/%E3%82%BF%E3%83%9F%E3%83%A4-%E6%A5%BD%E3%81%97%E3%81%84%E5%B7%A5%E4%BD%9C%E3%82%B7%E3%83%AA%E3%83%BC%E3%82%BA-No-145-%E3%83%8A%E3%83%AD%E3%83%BC%E3%82%BF%E3%82%A4%E3%83%A4%E3%82%BB%E3%83%83%E3%83%88-58mm%E5%BE%84/dp/B001VZJDZ6/ref=pd_sim_d_sccl_3_15/358-1699914-2968216?pd_rd_w=BWzc4&amp;content-id=amzn1.sym.3474371e-c251-45d0-b7dd-181708817ec8&amp;pf_rd_p=3474371e-c251-45d0-b7dd-181708817ec8&amp;pf_rd_r=E2NQF5SHGXT69PA32FZP&amp;pd_rd_wg=eGVBj&amp;pd_rd_r=d5d5dee6-1b64-45b0-a4e0-0ce9f987c82f&amp;pd_rd_i=B001VZJDZ6&amp;psc=1" TargetMode="External"/><Relationship Id="rId20" Type="http://schemas.openxmlformats.org/officeDocument/2006/relationships/hyperlink" Target="https://akizukidenshi.com/catalog/g/g100327/" TargetMode="External"/><Relationship Id="rId29" Type="http://schemas.openxmlformats.org/officeDocument/2006/relationships/hyperlink" Target="https://akizukidenshi.com/catalog/g/g104063/" TargetMode="External"/><Relationship Id="rId1" Type="http://schemas.openxmlformats.org/officeDocument/2006/relationships/hyperlink" Target="https://akizukidenshi.com/catalog/g/g100288/" TargetMode="External"/><Relationship Id="rId6" Type="http://schemas.openxmlformats.org/officeDocument/2006/relationships/hyperlink" Target="https://www.amazon.co.jp/Youmile-100%E3%83%91%E3%83%83%E3%82%AF6x6x6-mm%E3%83%9F%E3%83%8B%E3%83%81%E3%83%A5%E3%82%A2%E3%83%9E%E3%82%A4%E3%82%AF%E3%83%AD%E3%83%A2%E3%83%BC%E3%83%A1%E3%83%B3%E3%82%BF%E3%83%AA%E3%83%BC%E3%82%BF%E3%82%AF%E3%82%BF%E3%82%A4%E3%83%AB%E3%82%BF%E3%82%AF%E3%83%88%E3%82%BF%E3%83%83%E3%83%81%E3%83%97%E3%83%83%E3%82%B7%E3%83%A5%E3%83%9C%E3%82%BF%E3%83%B3%E3%82%B9%E3%82%A4%E3%83%83%E3%83%81%E5%93%81%E8%B3%AA%E3%82%B9%E3%82%A4%E3%83%83%E3%83%81SPST%E3%83%9F%E3%83%8B%E3%83%81%E3%83%A5%E3%82%A2-%E3%83%9E%E3%82%A4%E3%82%AF%E3%83%AD-%E3%82%B9%E3%83%A2%E3%83%BC%E3%83%ABPCB/dp/B084XBRQVN/" TargetMode="External"/><Relationship Id="rId11" Type="http://schemas.openxmlformats.org/officeDocument/2006/relationships/hyperlink" Target="https://akizukidenshi.com/catalog/g/g125101/" TargetMode="External"/><Relationship Id="rId24" Type="http://schemas.openxmlformats.org/officeDocument/2006/relationships/hyperlink" Target="https://www.amazon.co.jp/Amazon%E3%83%99%E3%83%BC%E3%82%B7%E3%83%83%E3%82%AF-%E5%8D%98%E4%B8%89%E9%9B%BB%E6%B1%A0-%E4%BF%9D%E5%AD%98%E6%9C%9F%E9%99%9010%E5%B9%B4-48%E5%80%8B%E3%82%BB%E3%83%83%E3%83%88-%E6%B6%B2%E6%BC%8F%E3%82%8C%E9%98%B2%E6%AD%A2/dp/B00MNV8E0C/?th=1" TargetMode="External"/><Relationship Id="rId32" Type="http://schemas.openxmlformats.org/officeDocument/2006/relationships/hyperlink" Target="https://akizukidenshi.com/catalog/g/g100315" TargetMode="External"/><Relationship Id="rId5" Type="http://schemas.openxmlformats.org/officeDocument/2006/relationships/hyperlink" Target="https://www.amazon.co.jp/YOUMILE-TS-YM-101-250%E3%83%91%E3%83%83%E3%82%AF%EF%BC%885%E8%89%B2x-50%E3%83%91%E3%83%83%E3%82%AF%EF%BC%893mm-LED%E7%99%BA%E5%85%89%E3%83%80%E3%82%A4%E3%82%AA%E3%83%BC%E3%83%89%E3%83%A9%E3%83%B3%E3%83%97%E6%8B%A1%E6%95%A3%E3%82%A2%E3%82%BD%E3%83%BC%E3%83%88%E3%82%AD%E3%83%83%E3%83%88%EF%BC%88%E3%83%9B%E3%83%AF%E3%82%A4%E3%83%88%E3%83%AC%E3%83%83%E3%83%89%E3%82%B0%E3%83%AA%E3%83%BC%E3%83%B3%E3%83%96%E3%83%AB%E3%83%BC%E3%82%A4%E3%82%A8%E3%83%AD%E3%83%BC%EF%BC%89/dp/B084VNJF7M/" TargetMode="External"/><Relationship Id="rId15" Type="http://schemas.openxmlformats.org/officeDocument/2006/relationships/hyperlink" Target="https://www.amazon.co.jp/Youmile-%E3%82%B9%E3%83%86%E3%83%83%E3%83%97%E3%82%A2%E3%83%83%E3%83%97%E3%83%96%E3%83%BC%E3%82%B9%E3%83%88%E9%9B%BB%E6%BA%90%E3%82%B3%E3%83%B3%E3%83%90%E3%83%BC%E3%82%BF-2V-24V-%E8%AA%BF%E6%95%B4%E5%8F%AF%E8%83%BD%E3%81%AA%E9%9B%BB%E5%9C%A7%E3%83%AC%E3%82%AE%E3%83%A5%E3%83%AC%E3%83%BC%E3%82%BF%E9%9B%BB%E6%BA%90%E3%83%A2%E3%82%B8%E3%83%A5%E3%83%BC%E3%83%AB-Arduino/dp/B0C5HXZ6HT/ref=sr_1_4?crid=1R8FU82QTCXI9&amp;dib=eyJ2IjoiMSJ9.1B7aG-lE2xQbnjWtZHbm3ZUCLS-PlaraXAd_P36pUN-NCe1OCc0_8Rl2zNJBZpAYZs22kuxyNvUCG_hlb8KIZwkVHI47ivrRjgrm9x_whgUqnwyP-Ht5h1s_R2jAwWY5SMrWzWJxXnyz_B3M_KscVxvplP-MJ9lWT7_95Lt3ixEMZkQvB4Mem_qqqF5KGv2AmMwJrhTWDi0Sq81I8pzCls6VUFE3tBGEzyXEmCZiwMVGguVbyamd8WrtPeoTHD836pMhc7F4q9P7c5Ltlb19RpVE-F35wgVFag5FQQEPlO8.oPOmqZD-nWKV-k4cpXtHJzVym55MUjI5Mz7eIRfcsz4&amp;dib_tag=se&amp;keywords=dcdc+%E3%82%B3%E3%83%B3%E3%83%90%E3%83%BC%E3%82%BF%E3%83%BC+%E3%82%A2%E3%83%83%E3%83%97&amp;qid=1769748444&amp;s=industrial&amp;sprefix=%2Cindustrial%2C160&amp;sr=1-4" TargetMode="External"/><Relationship Id="rId23" Type="http://schemas.openxmlformats.org/officeDocument/2006/relationships/hyperlink" Target="https://akizukidenshi.com/catalog/g/g112366/" TargetMode="External"/><Relationship Id="rId28" Type="http://schemas.openxmlformats.org/officeDocument/2006/relationships/hyperlink" Target="https://akizukidenshi.com/catalog/g/g102724/" TargetMode="External"/><Relationship Id="rId10" Type="http://schemas.openxmlformats.org/officeDocument/2006/relationships/hyperlink" Target="https://akizukidenshi.com/catalog/g/g125102/" TargetMode="External"/><Relationship Id="rId19" Type="http://schemas.openxmlformats.org/officeDocument/2006/relationships/hyperlink" Target="https://www.amazon.co.jp/dp/B072LV8YNN" TargetMode="External"/><Relationship Id="rId31" Type="http://schemas.openxmlformats.org/officeDocument/2006/relationships/hyperlink" Target="https://www.amazon.co.jp/%E3%82%BF%E3%83%9F%E3%83%A4-%E6%A5%BD%E3%81%97%E3%81%84%E5%B7%A5%E4%BD%9C%E3%82%B7%E3%83%AA%E3%83%BC%E3%82%BA-No-157-%E3%83%A6%E3%83%8B%E3%83%90%E3%83%BC%E3%82%B5%E3%83%AB%E3%83%97%E3%83%AC%E3%83%BC%E3%83%88-2%E6%9E%9A%E3%82%BB%E3%83%83%E3%83%88/dp/B001VZHRXG/ref=sr_1_1?__mk_ja_JP=%E3%82%AB%E3%82%BF%E3%82%AB%E3%83%8A&amp;crid=3FMIEL6GLLE15&amp;dib=eyJ2IjoiMSJ9.kxn6uz0BC44D7fA1ssxGWjnjvBiAS7jkplX7S1-mLYUCseR7xljDq8UQnmWJ4QK_7EN49VKHGyx6wLkuAzl3roEhLS6TuSljfzHZhqtVuDSAf435Siqrfb-H4j_wLDA0.zQx5JlwOEo8ZcAU53-DvVC8h9WhIs2yXxMPgunYhH0E&amp;dib_tag=se&amp;keywords=%E7%94%B0%E5%AE%AE+%E3%83%A6%E3%83%8B%E3%83%90%E3%83%BC%E3%82%B5%E3%83%AB%E3%83%97%E3%83%AC%E3%83%BC%E3%83%88&amp;qid=1769661378&amp;sprefix=%E7%94%B0%E5%AE%AE+%E3%83%A6%E3%83%8B%E3%83%90%E3%83%BC%E3%82%B5%E3%83%AB%E3%83%97%E3%83%AC%E3%83%BC%E3%83%88%2Caps%2C264&amp;sr=8-1" TargetMode="External"/><Relationship Id="rId4" Type="http://schemas.openxmlformats.org/officeDocument/2006/relationships/hyperlink" Target="https://akizukidenshi.com/catalog/g/g125103/" TargetMode="External"/><Relationship Id="rId9" Type="http://schemas.openxmlformats.org/officeDocument/2006/relationships/hyperlink" Target="https://akizukidenshi.com/catalog/g/g111401/" TargetMode="External"/><Relationship Id="rId14" Type="http://schemas.openxmlformats.org/officeDocument/2006/relationships/hyperlink" Target="https://akizukidenshi.com/catalog/g/g113416/" TargetMode="External"/><Relationship Id="rId22" Type="http://schemas.openxmlformats.org/officeDocument/2006/relationships/hyperlink" Target="https://akizukidenshi.com/catalog/g/g110372/" TargetMode="External"/><Relationship Id="rId27" Type="http://schemas.openxmlformats.org/officeDocument/2006/relationships/hyperlink" Target="https://akizukidenshi.com/catalog/g/g112804/" TargetMode="External"/><Relationship Id="rId30" Type="http://schemas.openxmlformats.org/officeDocument/2006/relationships/hyperlink" Target="https://www.amazon.co.jp/%E3%82%BF%E3%83%9F%E3%83%A4-%E6%A5%BD%E3%81%97%E3%81%84%E5%B7%A5%E4%BD%9C%E3%82%B7%E3%83%AA%E3%83%BC%E3%82%BA-No-168-%E3%83%80%E3%83%96%E3%83%AB%E3%82%AE%E3%83%A4%E3%83%9C%E3%83%83%E3%82%AF%E3%82%B9-%E5%B7%A6%E5%8F%B3%E7%8B%AC%E7%AB%8B4%E9%80%9F%E3%82%BF%E3%82%A4%E3%83%97/dp/B001Q13BIU/ref=sr_1_7?__mk_ja_JP=%E3%82%AB%E3%82%BF%E3%82%AB%E3%83%8A&amp;crid=KZXFTY86L4WO&amp;dib=eyJ2IjoiMSJ9.Mvcc9Qy_Zcpac0Bxa2nLgX2QKvuk8ZZWEDQCAwqQmL6g0afQXKgo5rhj-9Y_W-F5r1BDEQztj4VydHiNXg1V0-fClINhnqjFaEh9dMMtZECqo9JREEVl6uV3SRwAiYuc2d8AjLLAUOw9cd9eqsHUKICYqKlBN2KRju-m7Arb4o_FjCQCBBtJaJCZB59RT14npljtS1qn-uVXXmb48ZK90k8sQVzCn_xtYbyz1PxlvPl8OkxYDiDqRheN96gMl8M5wBKLQHBSPsG9zfcvYiTWIznrBT1EYDEHLhhbo9lPM4I.uwu-Jo-lCd9IAmw-nabugLKKcreDAGAxg81eYOcTa6g&amp;dib_tag=se&amp;keywords=%E7%94%B0%E5%AE%AE+%E3%82%AE%E3%82%A2%E3%83%9C%E3%83%83%E3%82%AF%E3%82%B9&amp;qid=1769661258&amp;sprefix=%E7%94%B0%E5%AE%AE+%E3%82%AE%E3%82%A2%E3%83%9C%E3%83%83%E3%82%AF%E3%82%B9%2Caps%2C177&amp;sr=8-7" TargetMode="External"/><Relationship Id="rId8" Type="http://schemas.openxmlformats.org/officeDocument/2006/relationships/hyperlink" Target="https://akizukidenshi.com/catalog/g/g1164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31F9-CF14-45CD-9A0A-2F9B1ED85F69}">
  <dimension ref="A1:G24"/>
  <sheetViews>
    <sheetView workbookViewId="0">
      <selection activeCell="B18" sqref="B18"/>
    </sheetView>
  </sheetViews>
  <sheetFormatPr defaultColWidth="9" defaultRowHeight="13.5" x14ac:dyDescent="0.15"/>
  <cols>
    <col min="1" max="1" width="9" style="5"/>
    <col min="2" max="2" width="31.125" style="5" customWidth="1"/>
    <col min="3" max="3" width="112.875" style="5" bestFit="1" customWidth="1"/>
    <col min="4" max="5" width="9" style="5"/>
    <col min="6" max="6" width="22.5" style="5" bestFit="1" customWidth="1"/>
    <col min="7" max="7" width="27.25" style="5" bestFit="1" customWidth="1"/>
    <col min="8" max="16384" width="9" style="5"/>
  </cols>
  <sheetData>
    <row r="1" spans="1:7" x14ac:dyDescent="0.15">
      <c r="A1" s="5" t="s">
        <v>26</v>
      </c>
    </row>
    <row r="3" spans="1:7" x14ac:dyDescent="0.15">
      <c r="B3" s="6" t="s">
        <v>27</v>
      </c>
      <c r="C3" s="6" t="s">
        <v>28</v>
      </c>
      <c r="D3" s="6" t="s">
        <v>29</v>
      </c>
      <c r="E3" s="10" t="s">
        <v>30</v>
      </c>
      <c r="F3" s="6" t="s">
        <v>31</v>
      </c>
      <c r="G3" s="6" t="s">
        <v>32</v>
      </c>
    </row>
    <row r="4" spans="1:7" x14ac:dyDescent="0.15">
      <c r="B4" s="6" t="s">
        <v>33</v>
      </c>
      <c r="C4" s="7" t="s">
        <v>34</v>
      </c>
      <c r="D4" s="6">
        <v>810</v>
      </c>
      <c r="E4" s="11">
        <v>1</v>
      </c>
      <c r="F4" s="6">
        <f>D4</f>
        <v>810</v>
      </c>
      <c r="G4" s="6" t="s">
        <v>35</v>
      </c>
    </row>
    <row r="5" spans="1:7" x14ac:dyDescent="0.15">
      <c r="B5" s="6" t="s">
        <v>36</v>
      </c>
      <c r="C5" s="7" t="s">
        <v>37</v>
      </c>
      <c r="D5" s="6">
        <v>539</v>
      </c>
      <c r="E5" s="11">
        <v>1</v>
      </c>
      <c r="F5" s="6">
        <f>D5</f>
        <v>539</v>
      </c>
      <c r="G5" s="6" t="s">
        <v>35</v>
      </c>
    </row>
    <row r="6" spans="1:7" x14ac:dyDescent="0.15">
      <c r="B6" s="6" t="s">
        <v>38</v>
      </c>
      <c r="C6" s="7" t="s">
        <v>39</v>
      </c>
      <c r="D6" s="6">
        <v>381</v>
      </c>
      <c r="E6" s="11">
        <v>1</v>
      </c>
      <c r="F6" s="6">
        <f>D6</f>
        <v>381</v>
      </c>
      <c r="G6" s="6" t="s">
        <v>35</v>
      </c>
    </row>
    <row r="7" spans="1:7" x14ac:dyDescent="0.15">
      <c r="B7" s="6" t="s">
        <v>40</v>
      </c>
      <c r="C7" s="7" t="s">
        <v>41</v>
      </c>
      <c r="D7" s="6">
        <v>1450</v>
      </c>
      <c r="E7" s="11">
        <v>1</v>
      </c>
      <c r="F7" s="6">
        <f>D7/8</f>
        <v>181.25</v>
      </c>
      <c r="G7" s="6" t="s">
        <v>35</v>
      </c>
    </row>
    <row r="8" spans="1:7" x14ac:dyDescent="0.15">
      <c r="B8" s="6" t="s">
        <v>42</v>
      </c>
      <c r="C8" s="7" t="s">
        <v>43</v>
      </c>
      <c r="D8" s="6">
        <v>5144</v>
      </c>
      <c r="E8" s="11">
        <v>1</v>
      </c>
      <c r="F8" s="6">
        <f>D8/10</f>
        <v>514.4</v>
      </c>
      <c r="G8" s="6" t="s">
        <v>35</v>
      </c>
    </row>
    <row r="9" spans="1:7" x14ac:dyDescent="0.15">
      <c r="B9" s="6" t="s">
        <v>44</v>
      </c>
      <c r="C9" s="7" t="s">
        <v>45</v>
      </c>
      <c r="D9" s="6">
        <v>998</v>
      </c>
      <c r="E9" s="11">
        <v>1</v>
      </c>
      <c r="F9" s="6">
        <f>D9</f>
        <v>998</v>
      </c>
      <c r="G9" s="6" t="s">
        <v>35</v>
      </c>
    </row>
    <row r="10" spans="1:7" x14ac:dyDescent="0.15">
      <c r="B10" s="8" t="s">
        <v>46</v>
      </c>
      <c r="C10" s="9" t="s">
        <v>47</v>
      </c>
      <c r="D10" s="8">
        <v>288</v>
      </c>
      <c r="E10" s="12">
        <v>2</v>
      </c>
      <c r="F10" s="8">
        <f>D10*2</f>
        <v>576</v>
      </c>
      <c r="G10" s="8" t="s">
        <v>48</v>
      </c>
    </row>
    <row r="11" spans="1:7" x14ac:dyDescent="0.15">
      <c r="B11" s="6" t="s">
        <v>49</v>
      </c>
      <c r="C11" s="7" t="s">
        <v>50</v>
      </c>
      <c r="D11" s="6">
        <v>634</v>
      </c>
      <c r="E11" s="11">
        <v>1</v>
      </c>
      <c r="F11" s="6">
        <f>D11</f>
        <v>634</v>
      </c>
      <c r="G11" s="6" t="s">
        <v>35</v>
      </c>
    </row>
    <row r="12" spans="1:7" x14ac:dyDescent="0.15">
      <c r="B12" s="6" t="s">
        <v>51</v>
      </c>
      <c r="C12" s="7" t="s">
        <v>52</v>
      </c>
      <c r="D12" s="6">
        <v>219</v>
      </c>
      <c r="E12" s="11">
        <v>1</v>
      </c>
      <c r="F12" s="6">
        <f>D12</f>
        <v>219</v>
      </c>
      <c r="G12" s="6" t="s">
        <v>35</v>
      </c>
    </row>
    <row r="13" spans="1:7" x14ac:dyDescent="0.15">
      <c r="B13" s="6" t="s">
        <v>53</v>
      </c>
      <c r="C13" s="7" t="s">
        <v>54</v>
      </c>
      <c r="D13" s="6">
        <v>2450</v>
      </c>
      <c r="E13" s="11">
        <v>0.1</v>
      </c>
      <c r="F13" s="6">
        <f>D13/10</f>
        <v>245</v>
      </c>
      <c r="G13" s="6" t="s">
        <v>35</v>
      </c>
    </row>
    <row r="14" spans="1:7" x14ac:dyDescent="0.15">
      <c r="B14" s="6" t="s">
        <v>55</v>
      </c>
      <c r="C14" s="7" t="s">
        <v>56</v>
      </c>
      <c r="D14" s="6">
        <v>1299</v>
      </c>
      <c r="E14" s="11">
        <v>0.2</v>
      </c>
      <c r="F14" s="6">
        <f>D14/5</f>
        <v>259.8</v>
      </c>
      <c r="G14" s="6" t="s">
        <v>35</v>
      </c>
    </row>
    <row r="15" spans="1:7" x14ac:dyDescent="0.15">
      <c r="B15" s="6" t="s">
        <v>57</v>
      </c>
      <c r="C15" s="7" t="s">
        <v>58</v>
      </c>
      <c r="D15" s="6">
        <v>307</v>
      </c>
      <c r="E15" s="11">
        <v>2</v>
      </c>
      <c r="F15" s="6">
        <f>D15*2</f>
        <v>614</v>
      </c>
      <c r="G15" s="6" t="s">
        <v>35</v>
      </c>
    </row>
    <row r="16" spans="1:7" x14ac:dyDescent="0.15">
      <c r="B16" s="6" t="s">
        <v>59</v>
      </c>
      <c r="C16" s="7" t="s">
        <v>60</v>
      </c>
      <c r="D16" s="6">
        <v>750</v>
      </c>
      <c r="E16" s="11">
        <v>0.2</v>
      </c>
      <c r="F16" s="6">
        <f>D16/5</f>
        <v>150</v>
      </c>
      <c r="G16" s="6" t="s">
        <v>35</v>
      </c>
    </row>
    <row r="17" spans="2:7" x14ac:dyDescent="0.15">
      <c r="B17" s="6" t="s">
        <v>61</v>
      </c>
      <c r="C17" s="7" t="s">
        <v>62</v>
      </c>
      <c r="D17" s="6">
        <v>261</v>
      </c>
      <c r="E17" s="11">
        <v>1</v>
      </c>
      <c r="F17" s="6">
        <f>D17</f>
        <v>261</v>
      </c>
      <c r="G17" s="6" t="s">
        <v>35</v>
      </c>
    </row>
    <row r="18" spans="2:7" x14ac:dyDescent="0.15">
      <c r="B18" s="6" t="s">
        <v>63</v>
      </c>
      <c r="C18" s="7" t="s">
        <v>64</v>
      </c>
      <c r="D18" s="6">
        <v>674</v>
      </c>
      <c r="E18" s="13" t="s">
        <v>65</v>
      </c>
      <c r="F18" s="6">
        <f>D18/20</f>
        <v>33.700000000000003</v>
      </c>
      <c r="G18" s="6" t="s">
        <v>35</v>
      </c>
    </row>
    <row r="19" spans="2:7" x14ac:dyDescent="0.15">
      <c r="B19" s="6" t="s">
        <v>66</v>
      </c>
      <c r="C19" s="7" t="s">
        <v>67</v>
      </c>
      <c r="D19" s="6">
        <v>799</v>
      </c>
      <c r="E19" s="13" t="s">
        <v>65</v>
      </c>
      <c r="F19" s="6">
        <f>D19/20</f>
        <v>39.950000000000003</v>
      </c>
      <c r="G19" s="6" t="s">
        <v>35</v>
      </c>
    </row>
    <row r="20" spans="2:7" x14ac:dyDescent="0.15">
      <c r="B20" s="6" t="s">
        <v>68</v>
      </c>
      <c r="C20" s="7" t="s">
        <v>69</v>
      </c>
      <c r="D20" s="6">
        <v>469</v>
      </c>
      <c r="E20" s="11"/>
      <c r="F20" s="6">
        <f>D20/10</f>
        <v>46.9</v>
      </c>
      <c r="G20" s="6" t="s">
        <v>35</v>
      </c>
    </row>
    <row r="21" spans="2:7" x14ac:dyDescent="0.15">
      <c r="B21" s="6" t="s">
        <v>70</v>
      </c>
      <c r="C21" s="7" t="s">
        <v>71</v>
      </c>
      <c r="D21" s="6">
        <v>729</v>
      </c>
      <c r="E21" s="11"/>
      <c r="F21" s="6">
        <f>D21/10</f>
        <v>72.900000000000006</v>
      </c>
      <c r="G21" s="6" t="s">
        <v>35</v>
      </c>
    </row>
    <row r="22" spans="2:7" x14ac:dyDescent="0.15">
      <c r="B22" s="6" t="s">
        <v>72</v>
      </c>
      <c r="C22" s="7" t="s">
        <v>73</v>
      </c>
      <c r="D22" s="6">
        <v>659</v>
      </c>
      <c r="E22" s="11"/>
      <c r="F22" s="6">
        <f>D22/5</f>
        <v>131.80000000000001</v>
      </c>
      <c r="G22" s="6" t="s">
        <v>35</v>
      </c>
    </row>
    <row r="24" spans="2:7" x14ac:dyDescent="0.15">
      <c r="D24" s="5">
        <f>SUM(D4:D22)</f>
        <v>18860</v>
      </c>
      <c r="F24" s="5">
        <f>SUM(F4:F22)</f>
        <v>6707.6999999999989</v>
      </c>
    </row>
  </sheetData>
  <autoFilter ref="B3:G22" xr:uid="{6E3A80DD-FBE3-488F-A38F-250F082AA67A}"/>
  <phoneticPr fontId="4"/>
  <hyperlinks>
    <hyperlink ref="C4" r:id="rId1" display="https://www.amazon.co.jp/%E3%82%BF%E3%83%9F%E3%83%A4-%E6%A5%BD%E3%81%97%E3%81%84%E5%B7%A5%E4%BD%9C%E3%82%B7%E3%83%AA%E3%83%BC%E3%82%BA-No-168-%E3%83%80%E3%83%96%E3%83%AB%E3%82%AE%E3%83%A4%E3%83%9C%E3%83%83%E3%82%AF%E3%82%B9-%E5%B7%A6%E5%8F%B3%E7%8B%AC%E7%AB%8B4%E9%80%9F%E3%82%BF%E3%82%A4%E3%83%97/dp/B001Q13BIU/ref=sr_1_7?__mk_ja_JP=%E3%82%AB%E3%82%BF%E3%82%AB%E3%83%8A&amp;crid=KZXFTY86L4WO&amp;dib=eyJ2IjoiMSJ9.Mvcc9Qy_Zcpac0Bxa2nLgX2QKvuk8ZZWEDQCAwqQmL6g0afQXKgo5rhj-9Y_W-F5r1BDEQztj4VydHiNXg1V0-fClINhnqjFaEh9dMMtZECqo9JREEVl6uV3SRwAiYuc2d8AjLLAUOw9cd9eqsHUKICYqKlBN2KRju-m7Arb4o_FjCQCBBtJaJCZB59RT14npljtS1qn-uVXXmb48ZK90k8sQVzCn_xtYbyz1PxlvPl8OkxYDiDqRheN96gMl8M5wBKLQHBSPsG9zfcvYiTWIznrBT1EYDEHLhhbo9lPM4I.uwu-Jo-lCd9IAmw-nabugLKKcreDAGAxg81eYOcTa6g&amp;dib_tag=se&amp;keywords=%E7%94%B0%E5%AE%AE+%E3%82%AE%E3%82%A2%E3%83%9C%E3%83%83%E3%82%AF%E3%82%B9&amp;qid=1769661258&amp;sprefix=%E7%94%B0%E5%AE%AE+%E3%82%AE%E3%82%A2%E3%83%9C%E3%83%83%E3%82%AF%E3%82%B9%2Caps%2C177&amp;sr=8-7" xr:uid="{6A1711DA-48EC-4674-97EB-A4EA26F94416}"/>
    <hyperlink ref="C5" r:id="rId2" display="https://www.amazon.co.jp/%E3%82%BF%E3%83%9F%E3%83%A4-%E6%A5%BD%E3%81%97%E3%81%84%E5%B7%A5%E4%BD%9C%E3%82%B7%E3%83%AA%E3%83%BC%E3%82%BA-No-157-%E3%83%A6%E3%83%8B%E3%83%90%E3%83%BC%E3%82%B5%E3%83%AB%E3%83%97%E3%83%AC%E3%83%BC%E3%83%88-2%E6%9E%9A%E3%82%BB%E3%83%83%E3%83%88/dp/B001VZHRXG/ref=sr_1_1?__mk_ja_JP=%E3%82%AB%E3%82%BF%E3%82%AB%E3%83%8A&amp;crid=3FMIEL6GLLE15&amp;dib=eyJ2IjoiMSJ9.kxn6uz0BC44D7fA1ssxGWjnjvBiAS7jkplX7S1-mLYUCseR7xljDq8UQnmWJ4QK_7EN49VKHGyx6wLkuAzl3roEhLS6TuSljfzHZhqtVuDSAf435Siqrfb-H4j_wLDA0.zQx5JlwOEo8ZcAU53-DvVC8h9WhIs2yXxMPgunYhH0E&amp;dib_tag=se&amp;keywords=%E7%94%B0%E5%AE%AE+%E3%83%A6%E3%83%8B%E3%83%90%E3%83%BC%E3%82%B5%E3%83%AB%E3%83%97%E3%83%AC%E3%83%BC%E3%83%88&amp;qid=1769661378&amp;sprefix=%E7%94%B0%E5%AE%AE+%E3%83%A6%E3%83%8B%E3%83%90%E3%83%BC%E3%82%B5%E3%83%AB%E3%83%97%E3%83%AC%E3%83%BC%E3%83%88%2Caps%2C264&amp;sr=8-1" xr:uid="{21C17864-C184-4E35-A0B5-F94DF8D05DF3}"/>
    <hyperlink ref="C6" r:id="rId3" display="https://www.amazon.co.jp/%E3%82%BF%E3%83%9F%E3%83%A4-%E6%A5%BD%E3%81%97%E3%81%84%E5%B7%A5%E4%BD%9C%E3%82%B7%E3%83%AA%E3%83%BC%E3%82%BA-No-145-%E3%83%8A%E3%83%AD%E3%83%BC%E3%82%BF%E3%82%A4%E3%83%A4%E3%82%BB%E3%83%83%E3%83%88-58mm%E5%BE%84/dp/B001VZJDZ6/ref=pd_sim_d_sccl_3_15/358-1699914-2968216?pd_rd_w=BWzc4&amp;content-id=amzn1.sym.3474371e-c251-45d0-b7dd-181708817ec8&amp;pf_rd_p=3474371e-c251-45d0-b7dd-181708817ec8&amp;pf_rd_r=E2NQF5SHGXT69PA32FZP&amp;pd_rd_wg=eGVBj&amp;pd_rd_r=d5d5dee6-1b64-45b0-a4e0-0ce9f987c82f&amp;pd_rd_i=B001VZJDZ6&amp;psc=1" xr:uid="{72E9FD2F-4498-429F-AFEC-5CF5853AE00C}"/>
    <hyperlink ref="C7" r:id="rId4" display="https://www.amazon.co.jp/dp/B0FSZ57CFZ/ref=sspa_dk_detail_3?pf_rd_p=f293be60-50b7-49bc-95e8-931faf86ed1e&amp;pf_rd_r=ET0Y0876R1ADP21WDS8E&amp;pd_rd_wg=ymUG4&amp;pd_rd_w=VgvY5&amp;content-id=amzn1.sym.f293be60-50b7-49bc-95e8-931faf86ed1e&amp;pd_rd_r=9d8b5a54-c720-4a1c-9f72-f0bfefb85f11&amp;sp_csd=d2lkZ2V0TmFtZT1zcF9kZXRhaWw&amp;th=1" xr:uid="{B099F0E8-CBBD-4464-87B0-410B91FA03E1}"/>
    <hyperlink ref="C9" r:id="rId5" display="https://www.amazon.co.jp/dp/B08B63VNCH/ref=sspa_dk_detail_6?psc=1&amp;pd_rd_i=B08B63VNCH&amp;pd_rd_w=cKHCn&amp;content-id=amzn1.sym.f293be60-50b7-49bc-95e8-931faf86ed1e&amp;pf_rd_p=f293be60-50b7-49bc-95e8-931faf86ed1e&amp;pf_rd_r=7EPJX6P40MVGM92SEQ2G&amp;pd_rd_wg=xWXxo&amp;pd_rd_r=e9493a3d-e52c-4725-995b-5d909e7d45ad&amp;sp_csd=d2lkZ2V0TmFtZT1zcF9kZXRhaWw" xr:uid="{6BCC49B2-A556-4C27-8149-8921107DC246}"/>
    <hyperlink ref="C10" r:id="rId6" display="https://www.amazon.co.jp/%E3%82%B5%E3%83%B3%E3%83%8F%E3%83%A4%E3%83%88-ICB-293U-%E5%B0%8F%E5%9E%8B%E3%83%A6%E3%83%8B%E3%83%90%E3%83%BC%E3%82%B5%E3%83%AB%E5%9F%BA%E6%9D%BF/dp/B00J7LDPNC/ref=pd_sbs_d_sccl_2_10/358-1699914-2968216?pd_rd_w=975YP&amp;content-id=amzn1.sym.06c48127-87ed-46e1-9c82-5caa3f707eab&amp;pf_rd_p=06c48127-87ed-46e1-9c82-5caa3f707eab&amp;pf_rd_r=GSMHFCK2B87JFVVWMVHM&amp;pd_rd_wg=UUr8x&amp;pd_rd_r=993ad29a-c605-4967-b823-91a6109d8619&amp;pd_rd_i=B00J7LDPNC&amp;th=1" xr:uid="{5F4AD045-9022-4E8C-B562-686A1A132157}"/>
    <hyperlink ref="C12" r:id="rId7" display="https://www.amazon.co.jp/ELPA-HK-SM04H-%E3%82%B9%E3%82%BA%E3%83%A1%E3%83%83%E3%82%AD%E7%B7%9A-%CF%860-4mm/dp/B00BECS36Q/ref=sr_1_2?__mk_ja_JP=%E3%82%AB%E3%82%BF%E3%82%AB%E3%83%8A&amp;crid=32ZEJBFSXCZ44&amp;dib=eyJ2IjoiMSJ9.rJ7nM5kuStFpi0gt0C9l6gHQdqVwcFYXhIEpKk7NHP7mxkqQ03hDIdl9mJ51nysbbZ73iMOAgAvxEoNya9XxSKUuG2tX8ZJhdMdWXqXfDA--UpLaJdoBW22nnNbozfx8q3Lw93M_QGM1cPF9BRIRsQvSYBP8wKYgGTOds9DGroYECqXTiJi5Fw58Weqq0Hj23GjIJx142jzzgCwlFCULtsXNp4kbCvByfOaWW7ay1-2Do76BkxHi3Vk8cqyoVNzQDCYhlhIm7KK9xQKy3ZmHeav7dDqM5BdbldbJpRVtsqM.shv7m_yntTqTSqGBhGA_G0UsEBvhTKSukaIzL_UKGII&amp;dib_tag=se&amp;keywords=%E3%83%A6%E3%83%8B%E3%83%90%E3%83%BC%E3%82%B5%E3%83%AB%E5%9F%BA%E7%9B%A4%2B%E9%85%8D%E7%B7%9A&amp;qid=1769662729&amp;sprefix=%E3%83%A6%E3%83%8B%E3%83%90%E3%83%BC%E3%82%B5%E3%83%AB%E5%9F%BA%E7%9B%A4%2B%E9%85%8D%E7%B7%9A%2Caps%2C175&amp;sr=8-2&amp;th=1" xr:uid="{3CABCC8A-987E-4CF9-9E4C-A45AEB82B1A9}"/>
    <hyperlink ref="C16" r:id="rId8" display="https://www.amazon.co.jp/VKLSVAN-5%E5%80%8B%E3%82%BB%E3%83%83%E3%83%88-DRV8833-DC%E3%83%A2%E3%83%BC%E3%82%BF%E3%83%BC%E3%83%89%E3%83%A9%E3%82%A4%E3%83%96%E3%83%A2%E3%82%B8%E3%83%A5%E3%83%BC%E3%83%AB-%E3%83%87%E3%83%A5%E3%82%A2%E3%83%AB%E3%83%A2%E3%83%BC%E3%82%BF%E3%83%BC%E3%83%89%E3%83%A9%E3%82%A4%E3%83%90%E3%83%BC%E3%83%89%E3%83%A9%E3%82%A4%E3%83%90%E3%83%BC%E3%83%9C%E3%83%BC%E3%83%89/dp/B098Q24ZV9/ref=sr_1_5?__mk_ja_JP=%E3%82%AB%E3%82%BF%E3%82%AB%E3%83%8A&amp;crid=2O1HQAFBIXVBA&amp;dib=eyJ2IjoiMSJ9.bDDHKmP4h74Y1fgBYVMFFGU5u1H6jt5bVKO7ywty8JLhVN1so_3LBH66VdcDSoncylunsuU6WF83NPS6Fp8Cbi6NmB1Zqo8qAF8tKNVjN6XXxPW6hBiGbgw156TbzjnG_nXD0m8r17Q2Ad0U80dvyBtjkgVTI5UbB5vgLL95VOXmKtpLIYwwQ6oejBHnyyAxING-hSf9-yofJ1G1aClMjB7gWT6MxQmRirbPN_U67e-3sO_pkjWbJWeuxnJ5ouTAwVMUc2WI3epQGa05po5mAASGz-a5iuPSD35QiyZ9g_E.7fAsyn955nO9LNGQ8wpPmspVZ3afNvlIL_8K0b6tBbI&amp;dib_tag=se&amp;keywords=%E3%83%A2%E3%83%BC%E3%82%BF%E3%83%BC%E3%83%89%E3%83%A9%E3%82%A4%E3%83%90&amp;qid=1769663122&amp;sprefix=%E3%83%A2%E3%83%BC%E3%82%BF%E3%83%BC%E3%83%89%E3%83%A9%E3%82%A4%E3%83%90%2Caps%2C186&amp;sr=8-5" xr:uid="{FF11FE30-9777-4C83-AB2E-2F086F453959}"/>
    <hyperlink ref="C17" r:id="rId9" display="https://www.amazon.co.jp/dp/B0G1KBM28G/ref=sspa_dk_detail_0?psc=1&amp;pd_rd_w=imzva&amp;content-id=amzn1.sym.4519c587-1a66-4b67-a87f-559231103a05&amp;pf_rd_p=4519c587-1a66-4b67-a87f-559231103a05&amp;pf_rd_r=626XDFJPX2NBHXHDYFQZ&amp;pd_rd_wg=1mgUL&amp;pd_rd_r=a6a17c97-5486-4ee0-94c5-01b438f31d65&amp;sp_csd=d2lkZ2V0TmFtZT1zcF9kZXRhaWwy" xr:uid="{A3453709-C761-4F7B-B242-6D8A852BEEB3}"/>
    <hyperlink ref="C8" r:id="rId10" display="https://ja.aliexpress.com/item/1005005953505528.html?spm=a2g0o.detail.pcDetailTopMoreOtherSeller.1.78ccgT6qgT6q56&amp;gps-id=pcDetailTopMoreOtherSeller&amp;scm=1007.40050.354490.0&amp;scm_id=1007.40050.354490.0&amp;scm-url=1007.40050.354490.0&amp;pvid=fd61446c-1886-4bf3-9f5d-45b3a08e0780&amp;_t=gps-id:pcDetailTopMoreOtherSeller,scm-url:1007.40050.354490.0,pvid:fd61446c-1886-4bf3-9f5d-45b3a08e0780,tpp_buckets:668%232846%238114%231999&amp;pdp_ext_f=%7B%22order%22%3A%226565%22%2C%22eval%22%3A%221%22%2C%22sceneId%22%3A%2230050%22%2C%22fromPage%22%3A%22recommend%22%7D&amp;pdp_npi=6%40dis%21JPY%21679%21252%21%21%2130.13%2111.20%21%402140e67317697471681254221ef507%2112000035007650505%21rec%21JP%216445454035%21ABX%211%210%21n_tag%3A-29910%3Bd%3A86373b6%3Bm03_new_user%3A-29895%3BpisId%3A5000000197845687&amp;utparam-url=scene%3ApcDetailTopMoreOtherSeller%7Cquery_from%3A%7Cx_object_id%3A1005005953505528%7C_p_origin_prod%3A" xr:uid="{FBBA8FD4-201A-4F44-B9E5-2107C5519A65}"/>
    <hyperlink ref="C14" r:id="rId11" display="https://www.amazon.co.jp/Chanzon%E3%83%94%E3%83%B3%E3%83%98%E3%83%83%E3%83%80%E3%83%BC-40%E3%83%94%E3%83%B3x20%E5%80%8B-%E3%83%94%E3%83%83%E3%83%812-54mm-PCB%E3%80%81Arduino-Gpio%E3%80%81%E3%82%B3%E3%83%8D%E3%82%AF%E3%82%BF%E3%80%81%E3%83%9E%E3%82%B7%E3%83%B3%E7%94%A8/dp/B09NN7GYZM/ref=sxin_14_pa_sp_search_thematic_sspa?__mk_ja_JP=%E3%82%AB%E3%82%BF%E3%82%AB%E3%83%8A&amp;content-id=amzn1.sym.f5e2a1f5-01b9-42e1-8277-dbb100dbc467%3Aamzn1.sym.f5e2a1f5-01b9-42e1-8277-dbb100dbc467&amp;crid=25YL4IB83S7O1&amp;cv_ct_cx=%E3%83%94%E3%83%B3%E3%83%98%E3%83%83%E3%83%80&amp;keywords=%E3%83%94%E3%83%B3%E3%83%98%E3%83%83%E3%83%80&amp;pd_rd_i=B09NN7GYZM&amp;pd_rd_r=27664762-1a62-4f13-b652-33057a3ca800&amp;pd_rd_w=GJBeu&amp;pd_rd_wg=Gprn3&amp;pf_rd_p=f5e2a1f5-01b9-42e1-8277-dbb100dbc467&amp;pf_rd_r=AAXCPYM7QMCCWMYAEB5Q&amp;qid=1769747506&amp;sbo=RZvfv%2F%2FHxDF%2BO5021pAnSA%3D%3D&amp;sprefix=%E3%83%94%E3%83%B3%E3%83%98%E3%83%83%E3%83%80%2Caps%2C172&amp;sr=1-3-9ad0563b-de06-426f-a1d3-3a92323660bd-spons&amp;sp_csd=d2lkZ2V0TmFtZT1zcF9zZWFyY2hfdGhlbWF0aWM&amp;th=1" xr:uid="{371F4656-178F-45D3-BED0-7995EB66B64A}"/>
    <hyperlink ref="C13" r:id="rId12" display="https://www.amazon.co.jp/%E3%80%9050m%E3%83%AA%E3%83%BC%E3%83%AB%E5%B7%BB%E3%80%91%E5%8D%98%E7%B7%9A-%E3%82%B5%E3%83%B3%E3%82%B3%E3%83%BC%E9%9B%BB%E5%95%86-0-65mm-%E3%82%B8%E3%83%A3%E3%83%B3%E3%83%91%E3%83%BC%E3%83%AF%E3%82%A4%E3%83%A4%E3%83%BC-%E9%9B%BB%E5%AD%90%E5%B7%A5%E4%BD%9C%E3%83%BB%E8%A9%A6%E9%A8%93%E7%94%A8%E3%83%BB%E3%83%96%E3%83%AC%E3%83%83%E3%83%89%E3%83%9C%E3%83%BC%E3%83%89%E5%AF%BE%E5%BF%9C/dp/B0FXCLDYVZ/ref=sr_1_1_sspa?__mk_ja_JP=%E3%82%AB%E3%82%BF%E3%82%AB%E3%83%8A&amp;crid=2C238QPSWC1WP&amp;dib=eyJ2IjoiMSJ9.ZddG-ky6sgFRzOkANKholFaRmrG-tp36nbnf4yByjZawpHp5SmcwMpKADlaDSX9BGWqcYl9CpXj3NWDoy1wAy60HivWfQii4B3Ug7Eex7iKI0A_voUovf-OIs_Wj7rhT0pUzRZ396YHdn9993ZDgmpEua4V4D0kr8OVyf2Kxsf27faQ1vfFCYD452rDWdoeort586VzM2K6HtXZNHRwxlI6iqdKaxhxiFCTjDtk_CK9EYsSCf3yH0waxV3q5JeJIUKsDKUOi6G5H0s3NoMutpZfRwvX3r8eNkXcm9MBVZKk.R8_KiqA34StL_7WbYENEZlYyEhCbsg-vAM2zQATXUbk&amp;dib_tag=se&amp;keywords=%E3%83%93%E3%83%8B%E3%83%BC%E3%83%AB%E7%B7%9A&amp;qid=1769747906&amp;sprefix=%E3%83%93%E3%83%8B%E3%83%BC%E3%83%AB%E7%B7%9A%2Caps%2C199&amp;sr=8-1-spons&amp;sp_csd=d2lkZ2V0TmFtZT1zcF9hdGY&amp;th=1" xr:uid="{83B58FC1-8794-46B4-8C63-DBAF49E62DCE}"/>
    <hyperlink ref="C15" r:id="rId13" display="https://ja.aliexpress.com/item/1005007482548086.html?spm=a2g0o.productlist.main.33.7b5b577b4ScsMr&amp;algo_pvid=618e182d-ba5a-4ad4-8497-f1b496181966&amp;algo_exp_id=618e182d-ba5a-4ad4-8497-f1b496181966-32&amp;pdp_ext_f=%7B%22order%22%3A%22129%22%2C%22eval%22%3A%221%22%2C%22fromPage%22%3A%22search%22%7D&amp;pdp_npi=6%40dis%21JPY%21307%21155%21%21%211.96%210.99%21%40212e520d17697483243643637ec5f5%2112000040944105862%21sea%21JP%216445454035%21ABX%211%210%21n_tag%3A-29910%3Bd%3A86373b6%3Bm03_new_user%3A-29895%3BpisId%3A5000000197845739&amp;curPageLogUid=BsU3WgiZtCOE&amp;utparam-url=scene%3Asearch%7Cquery_from%3A%7Cx_object_id%3A1005007482548086%7C_p_origin_prod%3A" xr:uid="{69185672-6809-4612-9E51-CB2F2E22BCC9}"/>
    <hyperlink ref="C22" r:id="rId14" display="https://www.amazon.co.jp/Youmile-%E3%82%B9%E3%83%86%E3%83%83%E3%83%97%E3%82%A2%E3%83%83%E3%83%97%E3%83%96%E3%83%BC%E3%82%B9%E3%83%88%E9%9B%BB%E6%BA%90%E3%82%B3%E3%83%B3%E3%83%90%E3%83%BC%E3%82%BF-2V-24V-%E8%AA%BF%E6%95%B4%E5%8F%AF%E8%83%BD%E3%81%AA%E9%9B%BB%E5%9C%A7%E3%83%AC%E3%82%AE%E3%83%A5%E3%83%AC%E3%83%BC%E3%82%BF%E9%9B%BB%E6%BA%90%E3%83%A2%E3%82%B8%E3%83%A5%E3%83%BC%E3%83%AB-Arduino/dp/B0C5HXZ6HT/ref=sr_1_4?crid=1R8FU82QTCXI9&amp;dib=eyJ2IjoiMSJ9.1B7aG-lE2xQbnjWtZHbm3ZUCLS-PlaraXAd_P36pUN-NCe1OCc0_8Rl2zNJBZpAYZs22kuxyNvUCG_hlb8KIZwkVHI47ivrRjgrm9x_whgUqnwyP-Ht5h1s_R2jAwWY5SMrWzWJxXnyz_B3M_KscVxvplP-MJ9lWT7_95Lt3ixEMZkQvB4Mem_qqqF5KGv2AmMwJrhTWDi0Sq81I8pzCls6VUFE3tBGEzyXEmCZiwMVGguVbyamd8WrtPeoTHD836pMhc7F4q9P7c5Ltlb19RpVE-F35wgVFag5FQQEPlO8.oPOmqZD-nWKV-k4cpXtHJzVym55MUjI5Mz7eIRfcsz4&amp;dib_tag=se&amp;keywords=dcdc+%E3%82%B3%E3%83%B3%E3%83%90%E3%83%BC%E3%82%BF%E3%83%BC+%E3%82%A2%E3%83%83%E3%83%97&amp;qid=1769748444&amp;s=industrial&amp;sprefix=%2Cindustrial%2C160&amp;sr=1-4" xr:uid="{1F82E87B-2EF9-4734-8431-201CA8767F12}"/>
    <hyperlink ref="C20" r:id="rId15" display="https://www.amazon.co.jp/YOUMILE-TS-YM-101-250%E3%83%91%E3%83%83%E3%82%AF%EF%BC%885%E8%89%B2x-50%E3%83%91%E3%83%83%E3%82%AF%EF%BC%893mm-LED%E7%99%BA%E5%85%89%E3%83%80%E3%82%A4%E3%82%AA%E3%83%BC%E3%83%89%E3%83%A9%E3%83%B3%E3%83%97%E6%8B%A1%E6%95%A3%E3%82%A2%E3%82%BD%E3%83%BC%E3%83%88%E3%82%AD%E3%83%83%E3%83%88%EF%BC%88%E3%83%9B%E3%83%AF%E3%82%A4%E3%83%88%E3%83%AC%E3%83%83%E3%83%89%E3%82%B0%E3%83%AA%E3%83%BC%E3%83%B3%E3%83%96%E3%83%AB%E3%83%BC%E3%82%A4%E3%82%A8%E3%83%AD%E3%83%BC%EF%BC%89/dp/B084VNJF7M/ref=sxin_14_pa_sp_search_thematic_sspa?content-id=amzn1.sym.77a1c6a0-6efc-4279-81ef-1901dbd589d5%3Aamzn1.sym.77a1c6a0-6efc-4279-81ef-1901dbd589d5&amp;cv_ct_cx=LED&amp;keywords=LED&amp;pd_rd_i=B084VNJF7M&amp;pd_rd_r=9f9c2cd8-6ef3-400e-8216-f7662b37284c&amp;pd_rd_w=7hPmE&amp;pd_rd_wg=rRQbF&amp;pf_rd_p=77a1c6a0-6efc-4279-81ef-1901dbd589d5&amp;pf_rd_r=MPSYXK2ZVE5ABV2Y471E&amp;qid=1769749092&amp;sbo=RZvfv%2F%2FHxDF%2BO5021pAnSA%3D%3D&amp;sr=1-1-6c02463e-e96e-4fdb-91c8-e326f266380f-spons&amp;sp_csd=d2lkZ2V0TmFtZT1zcF9zZWFyY2hfdGhlbWF0aWM&amp;psc=1" xr:uid="{D4025A78-0AC9-4B01-BFE9-F916067DB01C}"/>
    <hyperlink ref="C18" r:id="rId16" display="https://www.amazon.co.jp/uxcell-%E7%82%AD%E7%B4%A0%E7%9A%AE%E8%86%9C%E6%8A%B5%E6%8A%97-%E3%82%AB%E3%83%BC%E3%83%9C%E3%83%B3%E6%8A%B5%E6%8A%97%E5%99%A8-%E9%85%B8%E9%87%91%E6%8A%B5%E6%8A%97-%E8%A8%B1%E5%AE%B9%E5%B7%AE5/dp/B01AG0Z81E/ref=sr_1_5?crid=3TJJD5DETTLV6&amp;dib=eyJ2IjoiMSJ9.0en-yw0xXfOl2PBuQ18RnuZbPSOZCaRAZfpd850IwYOxUvElxYwHNpwb-3BxQ0GfaqRA0BlCiGlb89TGWvgPq2JM1iBIpL1UipuTlab7ysUlDtQCH2Rn9mr0mSnXT0LXiVKC-F27qpldHL4xTPGawWAkCU6SB-4gYYaRsszk1bLgJga55kxVTgzsChW_nxZym4Rs8wx-qVsgnKSaTXUJhNm8KiTXmzxd9B3QjD-BGgsJQ3ASKQjUQQYD5MMhQqD8VpCSZ8yS6--JrY_fJJR51rydjd8Ax4UrDN-lJ7dRE9E.CrpQkpduYs5wQGUZIRJ2qCFba2uJeyp_ikBHt39EKYg&amp;dib_tag=se&amp;keywords=%E6%8A%B5%E6%8A%97+10k%E3%82%AA%E3%83%BC%E3%83%A0&amp;qid=1769749341&amp;sprefix=%E6%8A%B5%E6%8A%97+10k%2Caps%2C215&amp;sr=8-5" xr:uid="{0DFE2202-BACD-4ADB-AD02-68975F6B2A03}"/>
    <hyperlink ref="C19" r:id="rId17" display="https://www.amazon.co.jp/Chanzon-0-25W-%E9%87%91%E5%B1%9E%E8%86%9C%E5%9B%BA%E5%AE%9A%E6%8A%B5%E6%8A%97%E5%99%A8-0-01-%E3%82%B9%E3%83%AB%E3%83%BC%E3%83%9B%E3%83%BC%E3%83%AB%E6%8A%B5%E6%8A%97%E5%99%A8/dp/B08QRT11GG/ref=sr_1_1_sspa?__mk_ja_JP=%E3%82%AB%E3%82%BF%E3%82%AB%E3%83%8A&amp;crid=26CI02AQ5YDG9&amp;dib=eyJ2IjoiMSJ9.MxA0wXcQ_Aen75YE2M3k04OcRov5S1wFnsJF_a4lOSGC7yrnaEeKn2J4i-UxQ9l8-LWxh0QbDKnoM4usHhcIZtEXaPF7lDBRZnJ-dAr8Qm-LBnGEakYy3v3pDOALA-3j-7T6tttGsd6K2ZrSTCp0XW_QEM9GuR6Vs-fuJku-RBCQLc5RAFeyf55ZQsbY2yW7W1x27cWSNoJuTi_c2CPoZyV0wHTgVQFyjmJTDhuRx7p9n0yRa-JlyDd2Iyk9_GYOrss-FVXhAPzUMIjtOrvj4UtjoaOeOJ6HQ0DR-b0e54Q.vtbUJ3ZFPzJEjnNkWASI5cknL-w8x3i6xvBs0Nh9bGA&amp;dib_tag=se&amp;keywords=%E6%8A%B5%E6%8A%97%2B100%E3%82%AA%E3%83%BC%E3%83%A0&amp;qid=1769749859&amp;sprefix=%E6%8A%B5%E6%8A%97%2B100%E3%82%AA%E3%83%BC%E3%83%A0%2Caps%2C175&amp;sr=8-1-spons&amp;sp_csd=d2lkZ2V0TmFtZT1zcF9hdGY&amp;th=1" xr:uid="{E7B9FA38-418B-4C10-B201-95E0AA263246}"/>
    <hyperlink ref="C21" r:id="rId18" display="https://www.amazon.co.jp/uxcell-%E3%83%9E%E3%82%A4%E3%82%AF%E3%83%AD%E3%82%BF%E3%82%AF%E3%83%88%E3%82%B9%E3%82%A4%E3%83%83%E3%83%81-%E6%8A%BC%E3%81%97%E3%83%9C%E3%82%BF%E3%83%B3%E3%82%B9%E3%82%A4%E3%83%83%E3%83%81-6x6x9mm-DC12V/dp/B07H7H39X1/ref=sr_1_54?__mk_ja_JP=%E3%82%AB%E3%82%BF%E3%82%AB%E3%83%8A&amp;crid=BLPWWGLXV399&amp;dib=eyJ2IjoiMSJ9.yzfTrrg-Pc7sU7gF0h2u7OQoYb-tSN4Vfeu3GZIU4JB-PIKnWJIVb8HIcDqSAJ3_Q1Cm5TSNtGRYoEGfzTWyPuAP6F8yfJGh-XGjBQPyg7g.qI4ot0S7hE3V37RDjjCXys36IE91QZhf8UX-8iBtKsU&amp;dib_tag=se&amp;keywords=%E3%82%BF%E3%82%AF%E3%83%88%E3%82%B9%E3%82%A4%E3%83%83%E3%83%81&amp;qid=1769749980&amp;sprefix=%E3%82%BF%E3%82%AF%E3%83%88%E3%82%B9%E3%82%A4%E3%83%83%E3%83%81%2Caps%2C184&amp;sr=8-54&amp;xpid=wJd5X8_kznYuL" xr:uid="{F71312D6-E9E9-404E-AF81-7DE422BCC718}"/>
    <hyperlink ref="C11" r:id="rId19" display="https://www.amazon.co.jp/goot-%E9%8A%80%E3%83%AC%E3%82%B9%E9%89%9B%E3%83%95%E3%83%AA%E3%83%BC%E3%81%AF%E3%82%93%E3%81%A0-%CE%A61-0mm-%E3%83%8B%E3%83%83%E3%82%B1%E3%83%AB0-05-%E3%82%B2%E3%83%AB%E3%83%9E%E3%83%8B%E3%82%A6%E3%83%A00-01-%E4%BB%A5%E4%B8%8B/dp/B0C8YZ7CJG/ref=pd_sbs_d_sccl_1_6/358-1699914-2968216?pd_rd_w=VfKvJ&amp;content-id=amzn1.sym.06c48127-87ed-46e1-9c82-5caa3f707eab&amp;pf_rd_p=06c48127-87ed-46e1-9c82-5caa3f707eab&amp;pf_rd_r=17R58WS7X8DN0RFNNVZX&amp;pd_rd_wg=7qBCp&amp;pd_rd_r=7f2cc623-710b-4e35-adf2-b395342e2286&amp;pd_rd_i=B0C8YZ7CJG&amp;th=1" xr:uid="{484D15DC-FC64-4B51-ABA7-8535FB6DCFC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4340-1D9A-40A5-802C-B7D0D71B24B4}">
  <dimension ref="A1:M36"/>
  <sheetViews>
    <sheetView tabSelected="1" topLeftCell="A8" zoomScale="115" zoomScaleNormal="115" workbookViewId="0">
      <selection activeCell="B21" sqref="B21"/>
    </sheetView>
  </sheetViews>
  <sheetFormatPr defaultRowHeight="13.5" x14ac:dyDescent="0.15"/>
  <cols>
    <col min="1" max="1" width="4.625" bestFit="1" customWidth="1"/>
    <col min="2" max="2" width="52.125" bestFit="1" customWidth="1"/>
    <col min="3" max="3" width="9.5" hidden="1" customWidth="1"/>
    <col min="4" max="4" width="9.875" hidden="1" customWidth="1"/>
    <col min="5" max="6" width="9.125" hidden="1" customWidth="1"/>
    <col min="7" max="7" width="12.25" customWidth="1"/>
    <col min="8" max="8" width="19.625" customWidth="1"/>
    <col min="9" max="9" width="9.375" hidden="1" customWidth="1"/>
    <col min="10" max="10" width="40.5" style="24" customWidth="1"/>
    <col min="11" max="11" width="40.875" customWidth="1"/>
    <col min="12" max="12" width="42.25" bestFit="1" customWidth="1"/>
  </cols>
  <sheetData>
    <row r="1" spans="1:13" ht="15.75" x14ac:dyDescent="0.25">
      <c r="A1" s="1"/>
    </row>
    <row r="2" spans="1:13" ht="15.75" x14ac:dyDescent="0.25">
      <c r="A2" s="1"/>
    </row>
    <row r="3" spans="1:13" x14ac:dyDescent="0.15">
      <c r="A3" t="s">
        <v>0</v>
      </c>
      <c r="B3" t="s">
        <v>1</v>
      </c>
      <c r="C3" t="s">
        <v>80</v>
      </c>
      <c r="D3" t="s">
        <v>83</v>
      </c>
      <c r="E3" t="s">
        <v>84</v>
      </c>
      <c r="F3" t="s">
        <v>85</v>
      </c>
      <c r="G3" t="s">
        <v>128</v>
      </c>
      <c r="H3" t="s">
        <v>86</v>
      </c>
      <c r="I3" t="s">
        <v>81</v>
      </c>
      <c r="J3" t="s">
        <v>82</v>
      </c>
      <c r="K3" s="24" t="s">
        <v>77</v>
      </c>
      <c r="L3" t="s">
        <v>116</v>
      </c>
      <c r="M3" t="s">
        <v>123</v>
      </c>
    </row>
    <row r="4" spans="1:13" ht="46.5" x14ac:dyDescent="0.3">
      <c r="A4">
        <v>1</v>
      </c>
      <c r="B4" s="4" t="s">
        <v>117</v>
      </c>
      <c r="C4">
        <v>1</v>
      </c>
      <c r="D4">
        <v>1</v>
      </c>
      <c r="E4">
        <v>1</v>
      </c>
      <c r="F4">
        <v>1</v>
      </c>
      <c r="G4" t="s">
        <v>129</v>
      </c>
      <c r="H4">
        <v>1</v>
      </c>
      <c r="I4">
        <f>購入希望リスト45[[#This Row],[在庫数]]-SUM(購入希望リスト45[[#This Row],[１中西 ]:[4 ZHANG]])</f>
        <v>5</v>
      </c>
      <c r="J4">
        <v>9</v>
      </c>
      <c r="K4" s="24"/>
      <c r="L4" s="24" t="s">
        <v>125</v>
      </c>
      <c r="M4" t="s">
        <v>122</v>
      </c>
    </row>
    <row r="5" spans="1:13" ht="33" x14ac:dyDescent="0.3">
      <c r="A5">
        <v>2</v>
      </c>
      <c r="B5" s="4" t="s">
        <v>114</v>
      </c>
      <c r="C5">
        <v>1</v>
      </c>
      <c r="G5" t="s">
        <v>131</v>
      </c>
      <c r="I5">
        <f>購入希望リスト45[[#This Row],[在庫数]]-SUM(購入希望リスト45[[#This Row],[１中西 ]:[4 ZHANG]])</f>
        <v>4</v>
      </c>
      <c r="J5">
        <v>4</v>
      </c>
      <c r="K5" s="24" t="s">
        <v>126</v>
      </c>
      <c r="L5" s="24" t="s">
        <v>115</v>
      </c>
    </row>
    <row r="6" spans="1:13" x14ac:dyDescent="0.15">
      <c r="A6">
        <v>3</v>
      </c>
      <c r="B6" s="4" t="s">
        <v>8</v>
      </c>
      <c r="C6">
        <v>1</v>
      </c>
      <c r="D6">
        <v>1</v>
      </c>
      <c r="E6">
        <v>1</v>
      </c>
      <c r="F6">
        <v>1</v>
      </c>
      <c r="H6">
        <v>1</v>
      </c>
      <c r="I6">
        <f>購入希望リスト45[[#This Row],[在庫数]]-SUM(購入希望リスト45[[#This Row],[１中西 ]:[4 ZHANG]])</f>
        <v>2</v>
      </c>
      <c r="J6">
        <v>6</v>
      </c>
      <c r="K6" s="24" t="s">
        <v>89</v>
      </c>
      <c r="L6" s="24"/>
    </row>
    <row r="7" spans="1:13" x14ac:dyDescent="0.15">
      <c r="A7">
        <v>4</v>
      </c>
      <c r="B7" s="4" t="s">
        <v>74</v>
      </c>
      <c r="C7">
        <v>1</v>
      </c>
      <c r="D7">
        <v>1</v>
      </c>
      <c r="E7">
        <v>1</v>
      </c>
      <c r="F7">
        <v>1</v>
      </c>
      <c r="H7">
        <v>1</v>
      </c>
      <c r="I7">
        <f>購入希望リスト45[[#This Row],[在庫数]]-SUM(購入希望リスト45[[#This Row],[１中西 ]:[4 ZHANG]])</f>
        <v>3</v>
      </c>
      <c r="J7">
        <v>7</v>
      </c>
      <c r="K7" s="24" t="s">
        <v>90</v>
      </c>
      <c r="L7" s="24"/>
    </row>
    <row r="8" spans="1:13" x14ac:dyDescent="0.15">
      <c r="A8">
        <v>5</v>
      </c>
      <c r="B8" s="4" t="s">
        <v>10</v>
      </c>
      <c r="C8">
        <v>1</v>
      </c>
      <c r="I8">
        <f>購入希望リスト45[[#This Row],[在庫数]]-SUM(購入希望リスト45[[#This Row],[１中西 ]:[4 ZHANG]])</f>
        <v>0</v>
      </c>
      <c r="J8">
        <v>0</v>
      </c>
      <c r="K8" s="24" t="s">
        <v>91</v>
      </c>
      <c r="L8" s="24"/>
    </row>
    <row r="9" spans="1:13" x14ac:dyDescent="0.15">
      <c r="A9">
        <v>6</v>
      </c>
      <c r="B9" s="2" t="s">
        <v>12</v>
      </c>
      <c r="C9">
        <v>4</v>
      </c>
      <c r="D9">
        <v>4</v>
      </c>
      <c r="E9">
        <v>4</v>
      </c>
      <c r="F9">
        <v>4</v>
      </c>
      <c r="H9">
        <v>4</v>
      </c>
      <c r="I9">
        <f>購入希望リスト45[[#This Row],[在庫数]]-SUM(購入希望リスト45[[#This Row],[１中西 ]:[4 ZHANG]])</f>
        <v>84</v>
      </c>
      <c r="J9">
        <v>100</v>
      </c>
      <c r="K9" s="24"/>
      <c r="L9" s="24"/>
    </row>
    <row r="10" spans="1:13" x14ac:dyDescent="0.15">
      <c r="A10">
        <v>7</v>
      </c>
      <c r="B10" s="2" t="s">
        <v>13</v>
      </c>
      <c r="C10">
        <v>4</v>
      </c>
      <c r="D10">
        <v>4</v>
      </c>
      <c r="E10">
        <v>4</v>
      </c>
      <c r="F10">
        <v>4</v>
      </c>
      <c r="H10">
        <v>4</v>
      </c>
      <c r="I10">
        <f>購入希望リスト45[[#This Row],[在庫数]]-SUM(購入希望リスト45[[#This Row],[１中西 ]:[4 ZHANG]])</f>
        <v>84</v>
      </c>
      <c r="J10">
        <v>100</v>
      </c>
      <c r="K10" s="24"/>
      <c r="L10" s="24"/>
    </row>
    <row r="11" spans="1:13" x14ac:dyDescent="0.15">
      <c r="A11">
        <v>8</v>
      </c>
      <c r="B11" s="2" t="s">
        <v>14</v>
      </c>
      <c r="C11">
        <v>4</v>
      </c>
      <c r="D11">
        <v>4</v>
      </c>
      <c r="E11">
        <v>4</v>
      </c>
      <c r="F11">
        <v>4</v>
      </c>
      <c r="H11">
        <v>4</v>
      </c>
      <c r="I11">
        <f>購入希望リスト45[[#This Row],[在庫数]]-SUM(購入希望リスト45[[#This Row],[１中西 ]:[4 ZHANG]])</f>
        <v>84</v>
      </c>
      <c r="J11">
        <v>100</v>
      </c>
      <c r="K11" s="24"/>
      <c r="L11" s="24"/>
    </row>
    <row r="12" spans="1:13" x14ac:dyDescent="0.15">
      <c r="A12">
        <v>9</v>
      </c>
      <c r="B12" s="2" t="s">
        <v>15</v>
      </c>
      <c r="C12">
        <v>4</v>
      </c>
      <c r="D12">
        <v>4</v>
      </c>
      <c r="E12">
        <v>4</v>
      </c>
      <c r="F12">
        <v>4</v>
      </c>
      <c r="H12">
        <v>4</v>
      </c>
      <c r="I12">
        <f>購入希望リスト45[[#This Row],[在庫数]]-SUM(購入希望リスト45[[#This Row],[１中西 ]:[4 ZHANG]])</f>
        <v>84</v>
      </c>
      <c r="J12">
        <v>100</v>
      </c>
      <c r="K12" s="24"/>
      <c r="L12" s="24"/>
    </row>
    <row r="13" spans="1:13" x14ac:dyDescent="0.15">
      <c r="A13">
        <v>10</v>
      </c>
      <c r="B13" s="2" t="s">
        <v>16</v>
      </c>
      <c r="C13">
        <v>4</v>
      </c>
      <c r="D13">
        <v>4</v>
      </c>
      <c r="E13">
        <v>4</v>
      </c>
      <c r="F13">
        <v>4</v>
      </c>
      <c r="H13">
        <v>4</v>
      </c>
      <c r="I13">
        <f>購入希望リスト45[[#This Row],[在庫数]]-SUM(購入希望リスト45[[#This Row],[１中西 ]:[4 ZHANG]])</f>
        <v>84</v>
      </c>
      <c r="J13">
        <v>100</v>
      </c>
      <c r="K13" s="24"/>
      <c r="L13" s="24"/>
    </row>
    <row r="14" spans="1:13" x14ac:dyDescent="0.15">
      <c r="A14">
        <v>11</v>
      </c>
      <c r="B14" s="2" t="s">
        <v>17</v>
      </c>
      <c r="C14">
        <v>4</v>
      </c>
      <c r="D14">
        <v>4</v>
      </c>
      <c r="E14">
        <v>4</v>
      </c>
      <c r="I14">
        <f>購入希望リスト45[[#This Row],[在庫数]]-SUM(購入希望リスト45[[#This Row],[１中西 ]:[4 ZHANG]])</f>
        <v>0</v>
      </c>
      <c r="J14">
        <v>8</v>
      </c>
      <c r="K14" s="24" t="s">
        <v>92</v>
      </c>
      <c r="L14" s="24"/>
    </row>
    <row r="15" spans="1:13" ht="27" x14ac:dyDescent="0.15">
      <c r="A15">
        <v>12</v>
      </c>
      <c r="B15" s="2" t="s">
        <v>18</v>
      </c>
      <c r="C15">
        <v>4</v>
      </c>
      <c r="D15">
        <v>4</v>
      </c>
      <c r="I15">
        <f>購入希望リスト45[[#This Row],[在庫数]]-SUM(購入希望リスト45[[#This Row],[１中西 ]:[4 ZHANG]])</f>
        <v>2</v>
      </c>
      <c r="J15">
        <v>6</v>
      </c>
      <c r="K15" s="24" t="s">
        <v>88</v>
      </c>
      <c r="L15" s="24"/>
    </row>
    <row r="16" spans="1:13" x14ac:dyDescent="0.15">
      <c r="A16">
        <v>13</v>
      </c>
      <c r="B16" s="2" t="s">
        <v>75</v>
      </c>
      <c r="C16">
        <v>2</v>
      </c>
      <c r="D16">
        <v>10</v>
      </c>
      <c r="E16">
        <v>10</v>
      </c>
      <c r="F16">
        <v>10</v>
      </c>
      <c r="H16">
        <v>10</v>
      </c>
      <c r="I16">
        <f>購入希望リスト45[[#This Row],[在庫数]]-SUM(購入希望リスト45[[#This Row],[１中西 ]:[4 ZHANG]])</f>
        <v>210</v>
      </c>
      <c r="J16">
        <v>250</v>
      </c>
      <c r="K16" s="24" t="s">
        <v>87</v>
      </c>
      <c r="L16" s="24"/>
    </row>
    <row r="17" spans="1:12" x14ac:dyDescent="0.15">
      <c r="A17">
        <v>14</v>
      </c>
      <c r="B17" s="2" t="s">
        <v>19</v>
      </c>
      <c r="C17">
        <v>2</v>
      </c>
      <c r="D17">
        <v>2</v>
      </c>
      <c r="E17">
        <v>2</v>
      </c>
      <c r="F17">
        <v>2</v>
      </c>
      <c r="H17">
        <v>2</v>
      </c>
      <c r="I17">
        <f>購入希望リスト45[[#This Row],[在庫数]]-SUM(購入希望リスト45[[#This Row],[１中西 ]:[4 ZHANG]])</f>
        <v>92</v>
      </c>
      <c r="J17">
        <v>100</v>
      </c>
      <c r="K17" s="24" t="s">
        <v>93</v>
      </c>
      <c r="L17" s="24"/>
    </row>
    <row r="18" spans="1:12" x14ac:dyDescent="0.15">
      <c r="A18">
        <v>15</v>
      </c>
      <c r="B18" s="2" t="s">
        <v>20</v>
      </c>
      <c r="C18">
        <v>1</v>
      </c>
      <c r="D18">
        <v>1</v>
      </c>
      <c r="E18">
        <v>1</v>
      </c>
      <c r="F18">
        <v>1</v>
      </c>
      <c r="H18">
        <v>1</v>
      </c>
      <c r="I18">
        <f>購入希望リスト45[[#This Row],[在庫数]]-SUM(購入希望リスト45[[#This Row],[１中西 ]:[4 ZHANG]])</f>
        <v>16</v>
      </c>
      <c r="J18">
        <v>20</v>
      </c>
      <c r="K18" s="24" t="s">
        <v>94</v>
      </c>
      <c r="L18" s="24"/>
    </row>
    <row r="19" spans="1:12" x14ac:dyDescent="0.15">
      <c r="A19">
        <v>16</v>
      </c>
      <c r="B19" s="2" t="s">
        <v>76</v>
      </c>
      <c r="C19">
        <v>2</v>
      </c>
      <c r="I19">
        <f>購入希望リスト45[[#This Row],[在庫数]]-SUM(購入希望リスト45[[#This Row],[１中西 ]:[4 ZHANG]])</f>
        <v>0</v>
      </c>
      <c r="J19"/>
      <c r="K19" s="24" t="s">
        <v>95</v>
      </c>
      <c r="L19" s="24"/>
    </row>
    <row r="20" spans="1:12" x14ac:dyDescent="0.15">
      <c r="A20">
        <v>17</v>
      </c>
      <c r="B20" s="2" t="s">
        <v>22</v>
      </c>
      <c r="C20">
        <v>1</v>
      </c>
      <c r="D20">
        <v>1</v>
      </c>
      <c r="E20">
        <v>1</v>
      </c>
      <c r="F20">
        <v>1</v>
      </c>
      <c r="H20">
        <v>1</v>
      </c>
      <c r="I20">
        <f>購入希望リスト45[[#This Row],[在庫数]]-SUM(購入希望リスト45[[#This Row],[１中西 ]:[4 ZHANG]])</f>
        <v>3</v>
      </c>
      <c r="J20">
        <v>7</v>
      </c>
      <c r="K20" s="24" t="s">
        <v>96</v>
      </c>
      <c r="L20" s="24"/>
    </row>
    <row r="21" spans="1:12" ht="18" x14ac:dyDescent="0.35">
      <c r="A21">
        <v>18</v>
      </c>
      <c r="B21" s="18" t="s">
        <v>127</v>
      </c>
      <c r="C21">
        <v>1</v>
      </c>
      <c r="D21">
        <v>1</v>
      </c>
      <c r="E21">
        <v>1</v>
      </c>
      <c r="F21">
        <v>1</v>
      </c>
      <c r="G21" t="s">
        <v>130</v>
      </c>
      <c r="H21" s="26">
        <v>1</v>
      </c>
      <c r="I21">
        <f>購入希望リスト45[[#This Row],[在庫数]]-SUM(購入希望リスト45[[#This Row],[１中西 ]:[4 ZHANG]])</f>
        <v>2</v>
      </c>
      <c r="J21">
        <v>6</v>
      </c>
      <c r="K21" s="24" t="s">
        <v>97</v>
      </c>
      <c r="L21" s="24" t="s">
        <v>124</v>
      </c>
    </row>
    <row r="22" spans="1:12" x14ac:dyDescent="0.15">
      <c r="A22">
        <v>19</v>
      </c>
      <c r="B22" s="18" t="s">
        <v>23</v>
      </c>
      <c r="C22">
        <v>2</v>
      </c>
      <c r="I22">
        <f>購入希望リスト45[[#This Row],[在庫数]]-SUM(購入希望リスト45[[#This Row],[１中西 ]:[4 ZHANG]])</f>
        <v>10</v>
      </c>
      <c r="J22">
        <v>10</v>
      </c>
      <c r="K22" s="24" t="s">
        <v>98</v>
      </c>
      <c r="L22" s="24" t="s">
        <v>120</v>
      </c>
    </row>
    <row r="23" spans="1:12" ht="36" x14ac:dyDescent="0.4">
      <c r="A23">
        <v>20</v>
      </c>
      <c r="B23" s="15" t="s">
        <v>100</v>
      </c>
      <c r="C23">
        <v>2</v>
      </c>
      <c r="D23">
        <v>2</v>
      </c>
      <c r="E23">
        <v>2</v>
      </c>
      <c r="F23">
        <v>2</v>
      </c>
      <c r="H23">
        <v>2</v>
      </c>
      <c r="I23">
        <f>購入希望リスト45[[#This Row],[在庫数]]-SUM(購入希望リスト45[[#This Row],[１中西 ]:[4 ZHANG]])</f>
        <v>12</v>
      </c>
      <c r="J23">
        <v>20</v>
      </c>
      <c r="K23" s="24" t="s">
        <v>99</v>
      </c>
      <c r="L23" s="24" t="s">
        <v>121</v>
      </c>
    </row>
    <row r="24" spans="1:12" s="22" customFormat="1" ht="33" x14ac:dyDescent="0.3">
      <c r="A24" s="22">
        <v>21</v>
      </c>
      <c r="B24" s="23" t="s">
        <v>24</v>
      </c>
      <c r="C24" s="22">
        <v>1</v>
      </c>
      <c r="D24" s="22">
        <v>1</v>
      </c>
      <c r="E24" s="22">
        <v>0</v>
      </c>
      <c r="F24" s="22">
        <v>0</v>
      </c>
      <c r="H24" s="22">
        <v>0</v>
      </c>
      <c r="I24" s="22">
        <f>購入希望リスト45[[#This Row],[在庫数]]-SUM(購入希望リスト45[[#This Row],[１中西 ]:[4 ZHANG]])</f>
        <v>0</v>
      </c>
      <c r="J24" s="22">
        <v>1</v>
      </c>
      <c r="K24" s="27" t="s">
        <v>101</v>
      </c>
      <c r="L24" s="25" t="s">
        <v>118</v>
      </c>
    </row>
    <row r="25" spans="1:12" ht="27" x14ac:dyDescent="0.15">
      <c r="A25">
        <v>22</v>
      </c>
      <c r="B25" s="14" t="s">
        <v>9</v>
      </c>
      <c r="C25">
        <v>2</v>
      </c>
      <c r="D25">
        <v>1</v>
      </c>
      <c r="E25">
        <v>1</v>
      </c>
      <c r="F25">
        <v>1</v>
      </c>
      <c r="H25">
        <v>1</v>
      </c>
      <c r="I25">
        <f>購入希望リスト45[[#This Row],[在庫数]]-SUM(購入希望リスト45[[#This Row],[１中西 ]:[4 ZHANG]])</f>
        <v>2</v>
      </c>
      <c r="J25">
        <v>6</v>
      </c>
      <c r="K25" s="24" t="s">
        <v>102</v>
      </c>
      <c r="L25" s="24"/>
    </row>
    <row r="26" spans="1:12" ht="30" x14ac:dyDescent="0.15">
      <c r="A26">
        <v>23</v>
      </c>
      <c r="B26" s="14" t="s">
        <v>25</v>
      </c>
      <c r="C26">
        <v>1</v>
      </c>
      <c r="D26">
        <v>1</v>
      </c>
      <c r="E26">
        <v>1</v>
      </c>
      <c r="F26">
        <v>1</v>
      </c>
      <c r="H26">
        <v>1</v>
      </c>
      <c r="I26">
        <f>購入希望リスト45[[#This Row],[在庫数]]-SUM(購入希望リスト45[[#This Row],[１中西 ]:[4 ZHANG]])</f>
        <v>2</v>
      </c>
      <c r="J26">
        <v>6</v>
      </c>
      <c r="K26" s="24" t="s">
        <v>103</v>
      </c>
      <c r="L26" s="24"/>
    </row>
    <row r="27" spans="1:12" ht="27" x14ac:dyDescent="0.15">
      <c r="A27">
        <v>24</v>
      </c>
      <c r="B27" s="17" t="s">
        <v>7</v>
      </c>
      <c r="C27">
        <v>5</v>
      </c>
      <c r="I27">
        <f>購入希望リスト45[[#This Row],[在庫数]]-SUM(購入希望リスト45[[#This Row],[１中西 ]:[4 ZHANG]])</f>
        <v>0</v>
      </c>
      <c r="J27"/>
      <c r="K27" s="24" t="s">
        <v>104</v>
      </c>
      <c r="L27" s="24"/>
    </row>
    <row r="28" spans="1:12" ht="27" x14ac:dyDescent="0.15">
      <c r="A28">
        <v>25</v>
      </c>
      <c r="B28" s="2" t="s">
        <v>78</v>
      </c>
      <c r="C28">
        <v>2</v>
      </c>
      <c r="I28">
        <f>購入希望リスト45[[#This Row],[在庫数]]-SUM(購入希望リスト45[[#This Row],[１中西 ]:[4 ZHANG]])</f>
        <v>0</v>
      </c>
      <c r="J28"/>
      <c r="K28" s="24" t="s">
        <v>105</v>
      </c>
      <c r="L28" s="24"/>
    </row>
    <row r="29" spans="1:12" x14ac:dyDescent="0.15">
      <c r="A29">
        <v>26</v>
      </c>
      <c r="B29" s="21" t="s">
        <v>79</v>
      </c>
      <c r="C29">
        <v>1</v>
      </c>
      <c r="D29">
        <v>1</v>
      </c>
      <c r="E29">
        <v>1</v>
      </c>
      <c r="F29">
        <v>1</v>
      </c>
      <c r="H29">
        <v>1</v>
      </c>
      <c r="I29">
        <f>購入希望リスト45[[#This Row],[在庫数]]-SUM(購入希望リスト45[[#This Row],[１中西 ]:[4 ZHANG]])</f>
        <v>3</v>
      </c>
      <c r="J29">
        <v>7</v>
      </c>
      <c r="K29" s="24" t="s">
        <v>106</v>
      </c>
      <c r="L29" s="24"/>
    </row>
    <row r="30" spans="1:12" ht="27" x14ac:dyDescent="0.15">
      <c r="A30">
        <v>27</v>
      </c>
      <c r="B30" s="20" t="s">
        <v>11</v>
      </c>
      <c r="C30">
        <v>1</v>
      </c>
      <c r="D30">
        <v>1</v>
      </c>
      <c r="E30">
        <v>1</v>
      </c>
      <c r="F30">
        <v>1</v>
      </c>
      <c r="H30">
        <v>1</v>
      </c>
      <c r="I30">
        <f>購入希望リスト45[[#This Row],[在庫数]]-SUM(購入希望リスト45[[#This Row],[１中西 ]:[4 ZHANG]])</f>
        <v>3</v>
      </c>
      <c r="J30">
        <v>7</v>
      </c>
      <c r="K30" s="25" t="s">
        <v>107</v>
      </c>
      <c r="L30" s="24" t="s">
        <v>119</v>
      </c>
    </row>
    <row r="31" spans="1:12" ht="27" x14ac:dyDescent="0.15">
      <c r="A31">
        <v>28</v>
      </c>
      <c r="B31" s="16" t="s">
        <v>21</v>
      </c>
      <c r="C31">
        <v>3</v>
      </c>
      <c r="D31">
        <v>3</v>
      </c>
      <c r="E31">
        <v>3</v>
      </c>
      <c r="I31">
        <f>購入希望リスト45[[#This Row],[在庫数]]-SUM(購入希望リスト45[[#This Row],[１中西 ]:[4 ZHANG]])</f>
        <v>1</v>
      </c>
      <c r="J31">
        <v>7</v>
      </c>
      <c r="K31" s="24" t="s">
        <v>108</v>
      </c>
      <c r="L31" s="24"/>
    </row>
    <row r="32" spans="1:12" ht="27" x14ac:dyDescent="0.15">
      <c r="A32">
        <v>29</v>
      </c>
      <c r="B32" s="3" t="s">
        <v>2</v>
      </c>
      <c r="C32">
        <v>3</v>
      </c>
      <c r="I32">
        <f>購入希望リスト45[[#This Row],[在庫数]]-SUM(購入希望リスト45[[#This Row],[１中西 ]:[4 ZHANG]])</f>
        <v>0</v>
      </c>
      <c r="J32"/>
      <c r="K32" s="24" t="s">
        <v>109</v>
      </c>
      <c r="L32" s="24"/>
    </row>
    <row r="33" spans="1:12" ht="27" x14ac:dyDescent="0.15">
      <c r="A33">
        <v>30</v>
      </c>
      <c r="B33" s="3" t="s">
        <v>3</v>
      </c>
      <c r="C33">
        <v>8</v>
      </c>
      <c r="I33">
        <f>購入希望リスト45[[#This Row],[在庫数]]-SUM(購入希望リスト45[[#This Row],[１中西 ]:[4 ZHANG]])</f>
        <v>0</v>
      </c>
      <c r="J33"/>
      <c r="K33" s="24" t="s">
        <v>110</v>
      </c>
      <c r="L33" s="24"/>
    </row>
    <row r="34" spans="1:12" ht="27" x14ac:dyDescent="0.15">
      <c r="A34">
        <v>31</v>
      </c>
      <c r="B34" s="2" t="s">
        <v>4</v>
      </c>
      <c r="C34">
        <v>2</v>
      </c>
      <c r="I34">
        <f>購入希望リスト45[[#This Row],[在庫数]]-SUM(購入希望リスト45[[#This Row],[１中西 ]:[4 ZHANG]])</f>
        <v>0</v>
      </c>
      <c r="J34"/>
      <c r="K34" s="24" t="s">
        <v>111</v>
      </c>
      <c r="L34" s="24"/>
    </row>
    <row r="35" spans="1:12" ht="27" x14ac:dyDescent="0.15">
      <c r="A35">
        <v>32</v>
      </c>
      <c r="B35" s="19" t="s">
        <v>6</v>
      </c>
      <c r="I35">
        <f>購入希望リスト45[[#This Row],[在庫数]]-SUM(購入希望リスト45[[#This Row],[１中西 ]:[4 ZHANG]])</f>
        <v>0</v>
      </c>
      <c r="J35"/>
      <c r="K35" s="24" t="s">
        <v>112</v>
      </c>
      <c r="L35" s="24"/>
    </row>
    <row r="36" spans="1:12" ht="27" x14ac:dyDescent="0.15">
      <c r="A36">
        <v>33</v>
      </c>
      <c r="B36" s="2" t="s">
        <v>5</v>
      </c>
      <c r="I36">
        <f>購入希望リスト45[[#This Row],[在庫数]]-SUM(購入希望リスト45[[#This Row],[１中西 ]:[4 ZHANG]])</f>
        <v>0</v>
      </c>
      <c r="J36"/>
      <c r="K36" s="24" t="s">
        <v>113</v>
      </c>
      <c r="L36" s="24"/>
    </row>
  </sheetData>
  <phoneticPr fontId="4"/>
  <hyperlinks>
    <hyperlink ref="B20" r:id="rId1" xr:uid="{65EE78F1-EA89-4F32-AA39-4C133815AAFF}"/>
    <hyperlink ref="B18" r:id="rId2" xr:uid="{98BCE8A7-6F71-4053-A536-303F88F88D17}"/>
    <hyperlink ref="B21" r:id="rId3" xr:uid="{EBFAC1C6-B1D9-467D-BB01-047340503E43}"/>
    <hyperlink ref="B10" r:id="rId4" xr:uid="{C730586B-7D5C-4310-B65A-A4DCB89E1A4D}"/>
    <hyperlink ref="B16" r:id="rId5" display="LED" xr:uid="{1AE62363-A3FE-439E-A6F6-45706A365918}"/>
    <hyperlink ref="B17" r:id="rId6" xr:uid="{6A447B60-285D-4E61-B7A1-ACE11006CDE8}"/>
    <hyperlink ref="B22" r:id="rId7" xr:uid="{1967EB38-F44A-4FD7-A4E0-3855652F187E}"/>
    <hyperlink ref="B14" r:id="rId8" xr:uid="{0C9DD902-55EE-496B-B434-00AD8924C93F}"/>
    <hyperlink ref="B15" r:id="rId9" xr:uid="{71373A98-0DA8-4E56-98AE-F88ABD6FABC4}"/>
    <hyperlink ref="B11" r:id="rId10" xr:uid="{06835B94-A2F6-47AC-A07C-3E49AABCE857}"/>
    <hyperlink ref="B9" r:id="rId11" xr:uid="{2BA254A7-2AC2-4A66-88E2-8EEA7C83BF42}"/>
    <hyperlink ref="B12" r:id="rId12" xr:uid="{FC2DD5BF-BE5B-468B-9B8B-47C323797A7B}"/>
    <hyperlink ref="B13" r:id="rId13" xr:uid="{CF32391D-A625-4544-A018-8495F755F0F2}"/>
    <hyperlink ref="B24" r:id="rId14" xr:uid="{582897DE-185B-4B4E-B522-7F76559E7E7E}"/>
    <hyperlink ref="B5" r:id="rId15" xr:uid="{E422BA62-C01F-401A-B1F0-B777AAEDCB88}"/>
    <hyperlink ref="B7" r:id="rId16" display="タイヤ" xr:uid="{254FF989-8E32-4F20-AC7F-BE1C3DF5516D}"/>
    <hyperlink ref="B4" r:id="rId17" xr:uid="{E8149378-0851-4CFD-91EE-4A05DA43592E}"/>
    <hyperlink ref="B6" r:id="rId18" xr:uid="{3B3C370E-31DE-4108-A692-024824DE7360}"/>
    <hyperlink ref="B8" r:id="rId19" xr:uid="{B9D7D65A-00EF-44D8-836F-2810A449DBB4}"/>
    <hyperlink ref="B25" r:id="rId20" xr:uid="{1E7C19F3-8AC1-453E-9E1D-C025D8397B45}"/>
    <hyperlink ref="B23" r:id="rId21" xr:uid="{4E06CEBA-21F8-4743-89C6-75100C08A9E4}"/>
    <hyperlink ref="B26" r:id="rId22" xr:uid="{7068CE70-752D-44AD-B28F-907813CC527F}"/>
    <hyperlink ref="B32" r:id="rId23" xr:uid="{422CC0C5-5745-4637-8D4D-0074A1D051D1}"/>
    <hyperlink ref="B33" r:id="rId24" xr:uid="{B6FFA6E7-DB7E-44B2-A55E-B3D588395756}"/>
    <hyperlink ref="B34" r:id="rId25" xr:uid="{4C272778-99A0-4188-835C-700835293F61}"/>
    <hyperlink ref="B35" r:id="rId26" xr:uid="{9BB4EC42-7889-4B13-A8A5-E6A232583B5E}"/>
    <hyperlink ref="B36" r:id="rId27" xr:uid="{3172C529-AABB-41AC-9B3B-F9B908CDD4C1}"/>
    <hyperlink ref="B28" r:id="rId28" display="電源用アルミ電解コンデンサ100μF 1個" xr:uid="{5CA125C9-5594-4673-A3D8-A7F066CE8023}"/>
    <hyperlink ref="B27" r:id="rId29" xr:uid="{183F3D1E-6D61-449A-BD71-AD25807EDF41}"/>
    <hyperlink ref="B30" r:id="rId30" display="https://www.amazon.co.jp/%E3%82%BF%E3%83%9F%E3%83%A4-%E6%A5%BD%E3%81%97%E3%81%84%E5%B7%A5%E4%BD%9C%E3%82%B7%E3%83%AA%E3%83%BC%E3%82%BA-No-168-%E3%83%80%E3%83%96%E3%83%AB%E3%82%AE%E3%83%A4%E3%83%9C%E3%83%83%E3%82%AF%E3%82%B9-%E5%B7%A6%E5%8F%B3%E7%8B%AC%E7%AB%8B4%E9%80%9F%E3%82%BF%E3%82%A4%E3%83%97/dp/B001Q13BIU/ref=sr_1_7?__mk_ja_JP=%E3%82%AB%E3%82%BF%E3%82%AB%E3%83%8A&amp;crid=KZXFTY86L4WO&amp;dib=eyJ2IjoiMSJ9.Mvcc9Qy_Zcpac0Bxa2nLgX2QKvuk8ZZWEDQCAwqQmL6g0afQXKgo5rhj-9Y_W-F5r1BDEQztj4VydHiNXg1V0-fClINhnqjFaEh9dMMtZECqo9JREEVl6uV3SRwAiYuc2d8AjLLAUOw9cd9eqsHUKICYqKlBN2KRju-m7Arb4o_FjCQCBBtJaJCZB59RT14npljtS1qn-uVXXmb48ZK90k8sQVzCn_xtYbyz1PxlvPl8OkxYDiDqRheN96gMl8M5wBKLQHBSPsG9zfcvYiTWIznrBT1EYDEHLhhbo9lPM4I.uwu-Jo-lCd9IAmw-nabugLKKcreDAGAxg81eYOcTa6g&amp;dib_tag=se&amp;keywords=%E7%94%B0%E5%AE%AE+%E3%82%AE%E3%82%A2%E3%83%9C%E3%83%83%E3%82%AF%E3%82%B9&amp;qid=1769661258&amp;sprefix=%E7%94%B0%E5%AE%AE+%E3%82%AE%E3%82%A2%E3%83%9C%E3%83%83%E3%82%AF%E3%82%B9%2Caps%2C177&amp;sr=8-7" xr:uid="{68316CB6-5392-4E54-A4FD-06396B705DEA}"/>
    <hyperlink ref="B29" r:id="rId31" display="https://www.amazon.co.jp/%E3%82%BF%E3%83%9F%E3%83%A4-%E6%A5%BD%E3%81%97%E3%81%84%E5%B7%A5%E4%BD%9C%E3%82%B7%E3%83%AA%E3%83%BC%E3%82%BA-No-157-%E3%83%A6%E3%83%8B%E3%83%90%E3%83%BC%E3%82%B5%E3%83%AB%E3%83%97%E3%83%AC%E3%83%BC%E3%83%88-2%E6%9E%9A%E3%82%BB%E3%83%83%E3%83%88/dp/B001VZHRXG/ref=sr_1_1?__mk_ja_JP=%E3%82%AB%E3%82%BF%E3%82%AB%E3%83%8A&amp;crid=3FMIEL6GLLE15&amp;dib=eyJ2IjoiMSJ9.kxn6uz0BC44D7fA1ssxGWjnjvBiAS7jkplX7S1-mLYUCseR7xljDq8UQnmWJ4QK_7EN49VKHGyx6wLkuAzl3roEhLS6TuSljfzHZhqtVuDSAf435Siqrfb-H4j_wLDA0.zQx5JlwOEo8ZcAU53-DvVC8h9WhIs2yXxMPgunYhH0E&amp;dib_tag=se&amp;keywords=%E7%94%B0%E5%AE%AE+%E3%83%A6%E3%83%8B%E3%83%90%E3%83%BC%E3%82%B5%E3%83%AB%E3%83%97%E3%83%AC%E3%83%BC%E3%83%88&amp;qid=1769661378&amp;sprefix=%E7%94%B0%E5%AE%AE+%E3%83%A6%E3%83%8B%E3%83%90%E3%83%BC%E3%82%B5%E3%83%AB%E3%83%97%E3%83%AC%E3%83%BC%E3%83%88%2Caps%2C264&amp;sr=8-1" xr:uid="{3C66F803-C3AB-4120-8325-7DBF159CE979}"/>
    <hyperlink ref="B31" r:id="rId32" xr:uid="{EC228F88-8171-4987-92C5-9E21160A6A82}"/>
  </hyperlinks>
  <pageMargins left="0.7" right="0.7" top="0.75" bottom="0.75" header="0.3" footer="0.3"/>
  <pageSetup paperSize="9" orientation="portrait" r:id="rId33"/>
  <tableParts count="1">
    <tablePart r:id="rId3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25927044547E4CBFF60E43CE685D6F" ma:contentTypeVersion="12" ma:contentTypeDescription="新しいドキュメントを作成します。" ma:contentTypeScope="" ma:versionID="959bb1152165faf9d560e10e87ab3f47">
  <xsd:schema xmlns:xsd="http://www.w3.org/2001/XMLSchema" xmlns:xs="http://www.w3.org/2001/XMLSchema" xmlns:p="http://schemas.microsoft.com/office/2006/metadata/properties" xmlns:ns2="0c5351b9-40d5-46e5-b3d7-65245297ebf2" xmlns:ns3="80795e20-426b-4398-a883-bfda43b49e22" targetNamespace="http://schemas.microsoft.com/office/2006/metadata/properties" ma:root="true" ma:fieldsID="3ef1b0733dea12a1c123a030d7cf34cc" ns2:_="" ns3:_="">
    <xsd:import namespace="0c5351b9-40d5-46e5-b3d7-65245297ebf2"/>
    <xsd:import namespace="80795e20-426b-4398-a883-bfda43b49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351b9-40d5-46e5-b3d7-65245297eb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95e20-426b-4398-a883-bfda43b49e2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99c0d01-c834-4943-800e-863f3def8ced}" ma:internalName="TaxCatchAll" ma:showField="CatchAllData" ma:web="80795e20-426b-4398-a883-bfda43b49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795e20-426b-4398-a883-bfda43b49e22" xsi:nil="true"/>
    <lcf76f155ced4ddcb4097134ff3c332f xmlns="0c5351b9-40d5-46e5-b3d7-65245297eb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6929E8-F640-4EFE-B521-104E4213B1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5351b9-40d5-46e5-b3d7-65245297ebf2"/>
    <ds:schemaRef ds:uri="80795e20-426b-4398-a883-bfda43b49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495187-996A-45D2-A395-FB9F07C545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6C6462-9ABF-4373-82D1-04C354C3E3E2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0c5351b9-40d5-46e5-b3d7-65245297ebf2"/>
    <ds:schemaRef ds:uri="http://schemas.microsoft.com/office/infopath/2007/PartnerControls"/>
    <ds:schemaRef ds:uri="80795e20-426b-4398-a883-bfda43b49e2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チームあたりの数</vt:lpstr>
      <vt:lpstr>チームあたりのキット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Yuki Akiyama (秋山 祐輝 GE)</dc:creator>
  <cp:keywords>SecrecyB; A.01.0010; HM</cp:keywords>
  <dc:description/>
  <cp:lastModifiedBy>XIAOLONG ZHANG (ＺＨＡＮＧ ＸＩＡＯＬＯＮＧ)</cp:lastModifiedBy>
  <cp:revision/>
  <dcterms:created xsi:type="dcterms:W3CDTF">2015-06-05T18:19:34Z</dcterms:created>
  <dcterms:modified xsi:type="dcterms:W3CDTF">2026-06-04T08:05:14Z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0x010100C625927044547E4CBFF60E43CE685D6F</vt:lpwstr>
  </property>
  <property fmtid="{D5CDD505-2E9C-101B-9397-08002B2CF9AE}" pid="3" name="MediaServiceImageTags">
    <vt:lpwstr/>
  </property>
</Properties>
</file>